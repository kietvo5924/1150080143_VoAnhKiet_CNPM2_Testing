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Admin\Downloads\Software-Testing\GK\"/>
    </mc:Choice>
  </mc:AlternateContent>
  <xr:revisionPtr revIDLastSave="0" documentId="13_ncr:1_{11D141C5-9F69-4A1D-93D9-8D977A10A95A}" xr6:coauthVersionLast="47" xr6:coauthVersionMax="47" xr10:uidLastSave="{00000000-0000-0000-0000-000000000000}"/>
  <bookViews>
    <workbookView xWindow="-28920" yWindow="-105" windowWidth="29040" windowHeight="15720" activeTab="6" xr2:uid="{00000000-000D-0000-FFFF-FFFF00000000}"/>
  </bookViews>
  <sheets>
    <sheet name=" Mục 1" sheetId="9" r:id="rId1"/>
    <sheet name="Mục 2" sheetId="1" r:id="rId2"/>
    <sheet name="Traceability Matrix" sheetId="17" r:id="rId3"/>
    <sheet name="Branch Coverage1" sheetId="19" r:id="rId4"/>
    <sheet name="Branch Coverag2" sheetId="20" r:id="rId5"/>
    <sheet name="Báo cáo tổng kết" sheetId="16" r:id="rId6"/>
    <sheet name="Bug" sheetId="18" r:id="rId7"/>
  </sheets>
  <definedNames>
    <definedName name="_xlchart.v1.0" hidden="1">Bug!$A$66:$A$67</definedName>
    <definedName name="_xlchart.v1.1" hidden="1">Bug!$B$65</definedName>
    <definedName name="_xlchart.v1.2" hidden="1">Bug!$B$66:$B$67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14" i="16" l="1"/>
  <c r="G14" i="16"/>
  <c r="F14" i="16"/>
  <c r="E14" i="16"/>
  <c r="D14" i="16"/>
  <c r="C14" i="16"/>
  <c r="I12" i="16"/>
  <c r="J12" i="16" s="1"/>
  <c r="I11" i="16"/>
  <c r="J11" i="16" s="1"/>
  <c r="I14" i="16" l="1"/>
  <c r="J14" i="16" s="1"/>
</calcChain>
</file>

<file path=xl/sharedStrings.xml><?xml version="1.0" encoding="utf-8"?>
<sst xmlns="http://schemas.openxmlformats.org/spreadsheetml/2006/main" count="976" uniqueCount="509">
  <si>
    <t>1. Phạm vi đầu vào</t>
  </si>
  <si>
    <t>Tiêu chí</t>
  </si>
  <si>
    <t>Nội dung</t>
  </si>
  <si>
    <t>Kiểu dữ liệu</t>
  </si>
  <si>
    <t>Khoảng hợp lệ</t>
  </si>
  <si>
    <t>2. Phân vùng tương đương</t>
  </si>
  <si>
    <t>Phân vùng</t>
  </si>
  <si>
    <t>Giá trị</t>
  </si>
  <si>
    <t>Vùng không hợp lệ</t>
  </si>
  <si>
    <t>3. Phân tích Giá trị biên</t>
  </si>
  <si>
    <t>Loại</t>
  </si>
  <si>
    <t>4. Test Case</t>
  </si>
  <si>
    <t>TC ID</t>
  </si>
  <si>
    <t>Mô tả</t>
  </si>
  <si>
    <t>Dữ liệu nhập</t>
  </si>
  <si>
    <t>Kết quả mong đợi</t>
  </si>
  <si>
    <t>TC01</t>
  </si>
  <si>
    <t>TC02</t>
  </si>
  <si>
    <t>TC03</t>
  </si>
  <si>
    <t>TC04</t>
  </si>
  <si>
    <t>TC05</t>
  </si>
  <si>
    <t>TC06</t>
  </si>
  <si>
    <t>TC07</t>
  </si>
  <si>
    <t>Do có 3 điều kiện đầu vào</t>
  </si>
  <si>
    <t>Điều kiện</t>
  </si>
  <si>
    <t>Rule 1</t>
  </si>
  <si>
    <t>Rule 2</t>
  </si>
  <si>
    <t>Rule 3</t>
  </si>
  <si>
    <t>Rule 4</t>
  </si>
  <si>
    <t>Rule 5</t>
  </si>
  <si>
    <t>Rule 6</t>
  </si>
  <si>
    <t>Rule 7</t>
  </si>
  <si>
    <t>Rule 8</t>
  </si>
  <si>
    <t>T</t>
  </si>
  <si>
    <t>F</t>
  </si>
  <si>
    <t>Hành động</t>
  </si>
  <si>
    <t>X</t>
  </si>
  <si>
    <t>Thiết kế test case</t>
  </si>
  <si>
    <t>Số lần thay đổi = 8/2 = 4</t>
  </si>
  <si>
    <t>Như vậy sẽ điền 4 giá trị T, sau đó là 4 giá trị F</t>
  </si>
  <si>
    <t>Điền giá trị cho điều kiện thứ hai:</t>
  </si>
  <si>
    <t>Điền giá trị cho điều kiện đầu tiên:</t>
  </si>
  <si>
    <t>Số lần thay đổi = 4/2 = 2</t>
  </si>
  <si>
    <t>Như vậy sẽ điền 2 giá trị T, sau đó là 2 giá trị F</t>
  </si>
  <si>
    <t>Điền giá trị cho điều kiện thứ ba:</t>
  </si>
  <si>
    <t>Số lần thay đổi = 2/2 = 1</t>
  </si>
  <si>
    <t>Như vậy sẽ điền xen kẽ 1 giá trị T, 1 giá trị F</t>
  </si>
  <si>
    <t>Kết luận</t>
  </si>
  <si>
    <t>Mô tả Test Case</t>
  </si>
  <si>
    <t>Người tạo</t>
  </si>
  <si>
    <t>Võ Anh Kiệt</t>
  </si>
  <si>
    <t>Người duyệt</t>
  </si>
  <si>
    <t>Phạm Trọng Huynh</t>
  </si>
  <si>
    <t>Phiên bản</t>
  </si>
  <si>
    <t>1.0</t>
  </si>
  <si>
    <t>Tên Tester</t>
  </si>
  <si>
    <t>Ngày kiểm thử</t>
  </si>
  <si>
    <t>Trạng thái chung</t>
  </si>
  <si>
    <t>Pass</t>
  </si>
  <si>
    <t>Mã Test Case</t>
  </si>
  <si>
    <t>STT</t>
  </si>
  <si>
    <t>Điều kiện tiên quyết</t>
  </si>
  <si>
    <t>Dữ liệu kiểm thử</t>
  </si>
  <si>
    <t>Logic xử lý (Backend)</t>
  </si>
  <si>
    <t>Trạng thái</t>
  </si>
  <si>
    <t>Kết quả thực tế</t>
  </si>
  <si>
    <t>Các bước thực hiện</t>
  </si>
  <si>
    <t>Logic xử lý (Backend):</t>
  </si>
  <si>
    <t>Fail</t>
  </si>
  <si>
    <t xml:space="preserve">Kết luận </t>
  </si>
  <si>
    <t>G01</t>
  </si>
  <si>
    <t>Tên Dự Án</t>
  </si>
  <si>
    <t>Người Tạo</t>
  </si>
  <si>
    <t>Mã Nhóm</t>
  </si>
  <si>
    <t>Người Duyệt</t>
  </si>
  <si>
    <t>Ghi chú</t>
  </si>
  <si>
    <t>Độ bao phủ kiểm thử</t>
  </si>
  <si>
    <t>Tỷ lệ thành công</t>
  </si>
  <si>
    <t>Ngày</t>
  </si>
  <si>
    <t>Hạng mục (Items)</t>
  </si>
  <si>
    <t>Đã test</t>
  </si>
  <si>
    <t>Chưa test</t>
  </si>
  <si>
    <t>Tổng số</t>
  </si>
  <si>
    <t>Độ bao phủ</t>
  </si>
  <si>
    <t>Tổng</t>
  </si>
  <si>
    <t>Tổng cộng</t>
  </si>
  <si>
    <t xml:space="preserve">Đạt </t>
  </si>
  <si>
    <t xml:space="preserve">Lỗi </t>
  </si>
  <si>
    <t xml:space="preserve">Bị chặn </t>
  </si>
  <si>
    <t xml:space="preserve">Bỏ qua </t>
  </si>
  <si>
    <t>Báo cáo test</t>
  </si>
  <si>
    <t>BẢNG QUYẾT ĐỊNH</t>
  </si>
  <si>
    <r>
      <rPr>
        <b/>
        <sz val="12"/>
        <color theme="1"/>
        <rFont val="Times New Roman"/>
        <family val="1"/>
      </rPr>
      <t>Bước 1:</t>
    </r>
    <r>
      <rPr>
        <sz val="12"/>
        <color theme="1"/>
        <rFont val="Times New Roman"/>
        <family val="1"/>
      </rPr>
      <t xml:space="preserve"> Xác định tất cả các điều kiện đầu vào và hành động của hệ thống</t>
    </r>
  </si>
  <si>
    <r>
      <rPr>
        <b/>
        <sz val="12"/>
        <color theme="1"/>
        <rFont val="Times New Roman"/>
        <family val="1"/>
      </rPr>
      <t>Bước 2:</t>
    </r>
    <r>
      <rPr>
        <sz val="12"/>
        <color theme="1"/>
        <rFont val="Times New Roman"/>
        <family val="1"/>
      </rPr>
      <t xml:space="preserve"> Tính số rules</t>
    </r>
  </si>
  <si>
    <r>
      <rPr>
        <b/>
        <sz val="12"/>
        <color theme="1"/>
        <rFont val="Times New Roman"/>
        <family val="1"/>
      </rPr>
      <t>Bước 2.1</t>
    </r>
    <r>
      <rPr>
        <sz val="12"/>
        <color theme="1"/>
        <rFont val="Times New Roman"/>
        <family val="1"/>
      </rPr>
      <t xml:space="preserve"> Điền các giá trị True (T) và False (F) cho mỗi điều kiện:</t>
    </r>
  </si>
  <si>
    <r>
      <rPr>
        <b/>
        <sz val="12"/>
        <color theme="1"/>
        <rFont val="Times New Roman"/>
        <family val="1"/>
      </rPr>
      <t>Bước 3:</t>
    </r>
    <r>
      <rPr>
        <sz val="12"/>
        <color theme="1"/>
        <rFont val="Times New Roman"/>
        <family val="1"/>
      </rPr>
      <t xml:space="preserve"> Lập Bảng quyết định kiểm tra logic đăng nhập</t>
    </r>
  </si>
  <si>
    <r>
      <rPr>
        <b/>
        <sz val="12"/>
        <color theme="1"/>
        <rFont val="Times New Roman"/>
        <family val="1"/>
      </rPr>
      <t>Bước 4:</t>
    </r>
    <r>
      <rPr>
        <sz val="12"/>
        <color theme="1"/>
        <rFont val="Times New Roman"/>
        <family val="1"/>
      </rPr>
      <t xml:space="preserve"> Rút gọn bảng quyết định</t>
    </r>
  </si>
  <si>
    <r>
      <rPr>
        <b/>
        <sz val="12"/>
        <color theme="1"/>
        <rFont val="Times New Roman"/>
        <family val="1"/>
      </rPr>
      <t xml:space="preserve">Bước 2: </t>
    </r>
    <r>
      <rPr>
        <sz val="12"/>
        <color theme="1"/>
        <rFont val="Times New Roman"/>
        <family val="1"/>
      </rPr>
      <t>Tính số rules</t>
    </r>
  </si>
  <si>
    <r>
      <rPr>
        <b/>
        <sz val="12"/>
        <color theme="1"/>
        <rFont val="Times New Roman"/>
        <family val="1"/>
      </rPr>
      <t xml:space="preserve">Bước 2.1 </t>
    </r>
    <r>
      <rPr>
        <sz val="12"/>
        <color theme="1"/>
        <rFont val="Times New Roman"/>
        <family val="1"/>
      </rPr>
      <t>Điền các giá trị True (T) và False (F) cho mỗi điều kiện:</t>
    </r>
  </si>
  <si>
    <r>
      <rPr>
        <b/>
        <sz val="12"/>
        <color theme="1"/>
        <rFont val="Times New Roman"/>
        <family val="1"/>
      </rPr>
      <t>Bước 3:</t>
    </r>
    <r>
      <rPr>
        <sz val="12"/>
        <color theme="1"/>
        <rFont val="Times New Roman"/>
        <family val="1"/>
      </rPr>
      <t xml:space="preserve"> Lập bảng quyết định kiểm tra độ dài mật khẩu</t>
    </r>
  </si>
  <si>
    <t>TC08</t>
  </si>
  <si>
    <t>Số tiền: 2000</t>
  </si>
  <si>
    <t>VIP: true</t>
  </si>
  <si>
    <t>double (amount), boolean (isVip)</t>
  </si>
  <si>
    <t>Đạt ngưỡng giảm 10%</t>
  </si>
  <si>
    <t>Kết quả = 0.0</t>
  </si>
  <si>
    <t xml:space="preserve">KIỂM THỬ </t>
  </si>
  <si>
    <t>TC_ORDER_DISCOUNT</t>
  </si>
  <si>
    <t>Môi trường kiểm thử JUnit 5 đã thiết lập thành công.</t>
  </si>
  <si>
    <t>Lớp OrderService được khởi tạo sẵn sàng.</t>
  </si>
  <si>
    <t>Số tiền: -50</t>
  </si>
  <si>
    <t>2. Kiểm tra Validation: amount &lt;= 0? Nếu đúng, ném ngoại lệ IllegalArgumentException</t>
  </si>
  <si>
    <t>4.Kiểm tra ưu đãi VIP: isVip == true? Nếu đúng, tính giảm thêm 5%.</t>
  </si>
  <si>
    <t>6. Trả về kết quả tổng số tiền được giảm.</t>
  </si>
  <si>
    <t>Nhập số tiền âm không hợp lệ</t>
  </si>
  <si>
    <t>Số tiền hợp lệ (&gt; 0)</t>
  </si>
  <si>
    <t>Đạt ngưỡng (&gt; 1000)</t>
  </si>
  <si>
    <t>Khách VIP</t>
  </si>
  <si>
    <t>Ném ngoại lệ (Exception)</t>
  </si>
  <si>
    <t>Không giảm giá (0.0)</t>
  </si>
  <si>
    <t>Chỉ giảm ưu đãi VIP (5%)</t>
  </si>
  <si>
    <t>Chỉ giảm cơ bản (10%)</t>
  </si>
  <si>
    <t>Giảm tổng hợp (15%)</t>
  </si>
  <si>
    <t>TC_ORDER_SHIPPING</t>
  </si>
  <si>
    <t>1. Hệ thống nhận tham số: khoảng cách, cân nặng, tốc hành.</t>
  </si>
  <si>
    <t>3. Thiết lập phí cơ bản: 15,000 VND.</t>
  </si>
  <si>
    <t>Giao tốc hành</t>
  </si>
  <si>
    <t>Hệ thống OrderService</t>
  </si>
  <si>
    <t>Chức năng Tính Giảm giá (Kiểm tra ngoại lệ, biên, logic ưu đãi)</t>
  </si>
  <si>
    <t>Chức năng Tính Phí vận chuyển (Kiểm tra phụ phí km, hàng nặng, tốc hành)</t>
  </si>
  <si>
    <t>Nắm vững 8 luồng rẽ nhánh CFG của hàm giảm giá.</t>
  </si>
  <si>
    <t>Kiểm thử luồng tính toán giảm giá đơn hàng</t>
  </si>
  <si>
    <t>amount &gt; 0</t>
  </si>
  <si>
    <t>Trạng thái VIP</t>
  </si>
  <si>
    <t>true hoặc false</t>
  </si>
  <si>
    <t>Vùng không hợp lệ (Báo lỗi)</t>
  </si>
  <si>
    <t>amount ≤ 0</t>
  </si>
  <si>
    <t>Vùng hợp lệ (Không đạt ngưỡng giảm)</t>
  </si>
  <si>
    <t>0 &lt; amount ≤ 100</t>
  </si>
  <si>
    <t>Vùng hợp lệ (Giảm cố định)</t>
  </si>
  <si>
    <t>100 &lt; amount &lt; 500</t>
  </si>
  <si>
    <t>Vùng hợp lệ (Không giảm)</t>
  </si>
  <si>
    <t>500 ≤ amount &lt; 1000</t>
  </si>
  <si>
    <t>Vùng hợp lệ (Giảm 10%)</t>
  </si>
  <si>
    <t>1000 ≤ amount &lt; 5000</t>
  </si>
  <si>
    <t>Vùng hợp lệ (Giảm 20%)</t>
  </si>
  <si>
    <t>amount ≥ 5000</t>
  </si>
  <si>
    <t>X_Invalid</t>
  </si>
  <si>
    <t>X_Boundary_Low</t>
  </si>
  <si>
    <t>Biên dưới vùng giảm cố định</t>
  </si>
  <si>
    <t>X_Bug1_Range</t>
  </si>
  <si>
    <t>Nằm trong 100–500 → Kích hoạt BUG 1 (code giảm 100 thay vì 10)</t>
  </si>
  <si>
    <t>X_Boundary_Mid</t>
  </si>
  <si>
    <t>Không thuộc vùng 100–500 → Không giảm</t>
  </si>
  <si>
    <t>X_Threshold_10</t>
  </si>
  <si>
    <t>X_Threshold_20</t>
  </si>
  <si>
    <t>Đạt ngưỡng giảm 20%</t>
  </si>
  <si>
    <t>X_Bug2_Max</t>
  </si>
  <si>
    <t>Tổng giảm vượt trần → Kích hoạt BUG 2 (gán 10000 thay vì 1000)</t>
  </si>
  <si>
    <t>1.Hệ thống nhận tham số đầu vào: số tiền (amount) và trạng thái VIP (isVip).</t>
  </si>
  <si>
    <t>5. Kiểm tra giới hạn trần: Tổng tiền giảm &gt; 1000? Nếu đúng, chốt mức giảm ở 10000</t>
  </si>
  <si>
    <t>3. Kiểm tra phân bậc cơ bản:</t>
  </si>
  <si>
    <t>amount &gt;= 5000: Tính giảm 20%.</t>
  </si>
  <si>
    <t>amount &gt;= 1000: Tính giảm 10%.</t>
  </si>
  <si>
    <t>100 &lt; amount &lt; 500: Tính giảm 100</t>
  </si>
  <si>
    <t>amount = -50, isVip = false</t>
  </si>
  <si>
    <t>Đơn hàng không đạt bất kỳ ngưỡng nào</t>
  </si>
  <si>
    <t>amount = 500, isVip = false</t>
  </si>
  <si>
    <t>Đơn nhỏ, chỉ áp dụng mã VIP</t>
  </si>
  <si>
    <t>amount = 500, isVip = true</t>
  </si>
  <si>
    <t>Kết quả = 25.0 (giảm 5%)</t>
  </si>
  <si>
    <t>Kết quả = 25.0</t>
  </si>
  <si>
    <t>Đơn đạt ngưỡng cơ bản 10%</t>
  </si>
  <si>
    <t>amount = 1000, isVip = false</t>
  </si>
  <si>
    <t>Kết quả = 100.0 (giảm 10%)</t>
  </si>
  <si>
    <t>Kết quả = 100.0</t>
  </si>
  <si>
    <t>Đơn lớn vừa, có VIP (10% + 5%)</t>
  </si>
  <si>
    <t>amount = 2000, isVip = true</t>
  </si>
  <si>
    <t>Kết quả = 300.0</t>
  </si>
  <si>
    <t>Đơn siêu lớn 20% (chạm mốc trần)</t>
  </si>
  <si>
    <t>amount = 5000, isVip = false</t>
  </si>
  <si>
    <t>Kết quả = 1000.0 (trần tối đa)</t>
  </si>
  <si>
    <t>Kết quả = 1000.0</t>
  </si>
  <si>
    <t>TEST BUG 1: Khách thường trong vùng giảm cố định</t>
  </si>
  <si>
    <t>amount = 300, isVip = false</t>
  </si>
  <si>
    <t>Kết quả = 10.0</t>
  </si>
  <si>
    <t>TEST BUG 2: Vượt trần giảm tối đa</t>
  </si>
  <si>
    <t>amount = 6000, isVip = false</t>
  </si>
  <si>
    <t>Kết quả = 10000.0</t>
  </si>
  <si>
    <t>Giá trị âm → Ném ngoại lệ IllegalArgumentException</t>
  </si>
  <si>
    <t>Ném ngoại lệ IllegalArgumentException</t>
  </si>
  <si>
    <t>B1: Gọi hàm tính giảm giá. 
B2: Truyền amount = -50. 
B3: Bắt ngoại lệ.</t>
  </si>
  <si>
    <t>B1: Truyền amount = 500, isVip = false. 
B2: So sánh kết quả.</t>
  </si>
  <si>
    <t>B1: Truyền amount = 500, isVip = true. 
B2: So sánh kết quả.</t>
  </si>
  <si>
    <t>B1: Truyền amount = 1000, isVip = false. 
B2: So sánh kết quả.</t>
  </si>
  <si>
    <t>B1: Truyền amount = 2000, isVip = true. 
B2: So sánh kết quả.</t>
  </si>
  <si>
    <t>B1: Truyền amount = 5000, isVip = false. 
B2: So sánh kết quả.</t>
  </si>
  <si>
    <t>B1: Truyền amount = 300, isVip = false. 
B2: So sánh kết quả.</t>
  </si>
  <si>
    <t>B1: Truyền amount = 6000. 
B2: Tiền giảm = 1200 &gt; 1000. B3: So sánh kết quả.</t>
  </si>
  <si>
    <t>Nắm vững 9 luồng rẽ nhánh CFG của hàm vận chuyển.</t>
  </si>
  <si>
    <t>Khoảng cách (km): 100</t>
  </si>
  <si>
    <t>Cân nặng (kg): 2</t>
  </si>
  <si>
    <t>Giao Express: false</t>
  </si>
  <si>
    <t>Kiểm thử luồng tính toán phí vận chuyển</t>
  </si>
  <si>
    <t>2. Kiểm tra Validation: distance &lt; 0 hoặc weight &lt; 0? Nếu đúng, ném ngoại lệ IllegalArgumentException</t>
  </si>
  <si>
    <t>4. Kiểm tra phụ thu khoảng cách:</t>
  </si>
  <si>
    <t>distance &gt; 50: Phí đi cực xa = (40 * 5000) + ((distance - 50) * 8000).</t>
  </si>
  <si>
    <t>distance &gt; 10: Phí đi xa = (distance - 10) * 5000.</t>
  </si>
  <si>
    <t>5. Kiểm tra phụ thu cân nặng:</t>
  </si>
  <si>
    <t>weight &gt; 10: Phụ thu 50,000.</t>
  </si>
  <si>
    <t>weight &gt; 5: Phụ thu 200,000</t>
  </si>
  <si>
    <t>6. Kiểm tra giao tốc hành: Nếu isExpress == true, nhân tổng phí với hệ số 1.5.</t>
  </si>
  <si>
    <t>8. Trả về kết quả tổng phí vận chuyển.</t>
  </si>
  <si>
    <t>7. Kiểm tra Freeship: Nếu fee &gt;= 500,000, gán fee = 50,000</t>
  </si>
  <si>
    <t>double (distance, weight), boolean (isExpress)</t>
  </si>
  <si>
    <t>distance ≥ 0</t>
  </si>
  <si>
    <t>weight ≥ 0</t>
  </si>
  <si>
    <t>isExpress = true hoặc false</t>
  </si>
  <si>
    <t>distance &lt; 0 hoặc weight &lt; 0</t>
  </si>
  <si>
    <t>Vùng cơ bản (Không phụ thu)</t>
  </si>
  <si>
    <t>0 ≤ distance ≤ 10 và 0 ≤ weight ≤ 5</t>
  </si>
  <si>
    <t>Vùng phụ thu khoảng cách</t>
  </si>
  <si>
    <t>10 &lt; distance ≤ 50 (mức 1) hoặc distance &gt; 50 (mức 2)</t>
  </si>
  <si>
    <t>Vùng phụ thu cân nặng</t>
  </si>
  <si>
    <t>5 &lt; weight ≤ 10 (mức 1) hoặc weight &gt; 10 (mức 2)</t>
  </si>
  <si>
    <t>Vùng Freeship</t>
  </si>
  <si>
    <t>Tổng phí ≥ 500000</t>
  </si>
  <si>
    <t>X_Invalid_Dist</t>
  </si>
  <si>
    <t>distance = -5</t>
  </si>
  <si>
    <t>Khoảng cách âm → ném ngoại lệ</t>
  </si>
  <si>
    <t>X_Invalid_Weight</t>
  </si>
  <si>
    <t>weight = -2</t>
  </si>
  <si>
    <t>Cân nặng âm → ném ngoại lệ</t>
  </si>
  <si>
    <t>X_Base_Border</t>
  </si>
  <si>
    <t>distance = 10, weight = 5</t>
  </si>
  <si>
    <t>Chạm mốc nhưng không vượt → phí cơ bản 15000</t>
  </si>
  <si>
    <t>X_Tier1_Dist</t>
  </si>
  <si>
    <t>distance = 15</t>
  </si>
  <si>
    <t>Phụ thu khoảng cách mức 1</t>
  </si>
  <si>
    <t>X_Tier2_Dist</t>
  </si>
  <si>
    <t>distance = 60</t>
  </si>
  <si>
    <t>Phụ thu khoảng cách mức 2</t>
  </si>
  <si>
    <t>X_Bug3_Weight</t>
  </si>
  <si>
    <t>weight = 8</t>
  </si>
  <si>
    <t>Phụ thu cân nặng mức 1 → kích hoạt BUG 3</t>
  </si>
  <si>
    <t>X_Tier2_Weight</t>
  </si>
  <si>
    <t>weight = 12</t>
  </si>
  <si>
    <t>Phụ thu cân nặng mức 2</t>
  </si>
  <si>
    <t>X_Bug4_MaxFee</t>
  </si>
  <si>
    <t>fee ≥ 500000</t>
  </si>
  <si>
    <t>Vượt trần phí → kích hoạt Freeship (BUG 4)</t>
  </si>
  <si>
    <t>Nhập khoảng cách âm</t>
  </si>
  <si>
    <t>dist = -5, weight = 2, exp = false</t>
  </si>
  <si>
    <t>Nhập cân nặng âm</t>
  </si>
  <si>
    <t>dist = 10, weight = -2, exp = false</t>
  </si>
  <si>
    <t>Không vượt mốc phụ thu</t>
  </si>
  <si>
    <t>dist = 10, weight = 5, exp = false</t>
  </si>
  <si>
    <t>15000.0</t>
  </si>
  <si>
    <t>dist = 15, weight = 2, exp = false</t>
  </si>
  <si>
    <t>40000.0</t>
  </si>
  <si>
    <t>dist = 60, weight = 2, exp = false</t>
  </si>
  <si>
    <t>295000.0</t>
  </si>
  <si>
    <t>dist = 5, weight = 12, exp = false</t>
  </si>
  <si>
    <t>65000.0</t>
  </si>
  <si>
    <t>Kích hoạt giao hàng tốc hành</t>
  </si>
  <si>
    <t>dist = 15, weight = 12, exp = true</t>
  </si>
  <si>
    <t>135000.0</t>
  </si>
  <si>
    <t>TEST BUG 3: phụ thu cân nặng mức 1</t>
  </si>
  <si>
    <t>dist = 5, weight = 8, exp = false</t>
  </si>
  <si>
    <t>35000.0</t>
  </si>
  <si>
    <t>215000.0</t>
  </si>
  <si>
    <t>TC09</t>
  </si>
  <si>
    <t>TEST BUG 4: chính sách Freeship</t>
  </si>
  <si>
    <t>dist = 100, weight = 2, exp = false</t>
  </si>
  <si>
    <t>0.0</t>
  </si>
  <si>
    <t>50000.0</t>
  </si>
  <si>
    <t>B1: Gọi hàm tính phí. 
B2: Truyền distance = -5. 
B3: Bắt lỗi.</t>
  </si>
  <si>
    <t>B1: Gọi hàm tính phí. 
B2: Truyền weight = -2. 
B3: Bắt lỗi.</t>
  </si>
  <si>
    <t>B1: Truyền d=10, w=5. 
B2: So sánh kết quả.</t>
  </si>
  <si>
    <t>B1: Truyền d=15, w=2. 
B2: So sánh kết quả.</t>
  </si>
  <si>
    <t>B1: Truyền d=60, w=2. 
B2: So sánh kết quả.</t>
  </si>
  <si>
    <t>B1: Truyền d=5, w=12. 
B2: So sánh kết quả.</t>
  </si>
  <si>
    <t>B1: Truyền d=15, w=12, exp=true. 
B2: So sánh kết quả.</t>
  </si>
  <si>
    <t>B1: Truyền d=5, w=8. 
B2: So sánh kết quả.</t>
  </si>
  <si>
    <t>B1: Truyền d=100. 
B2: Tổng phí &gt; 500000. B3: So sánh kết quả.</t>
  </si>
  <si>
    <t>Các điều kiện: Số tiền hợp lệ (&gt; 0), Đạt ngưỡng (&gt; 1000), Đạt ngưỡng siêu lớn (&gt;= 5000), Khách VIP.</t>
  </si>
  <si>
    <t>Hành động: Ném ngoại lệ, Không giảm giá, Giảm 10%, Giảm 20%, Cộng ưu đãi VIP (5%), Giảm tổng hợp.</t>
  </si>
  <si>
    <t>Tổng số rules = 2^4 = 16 rules.</t>
  </si>
  <si>
    <t>Số lần thay đổi = 16/2 = 8</t>
  </si>
  <si>
    <t>Như vậy sẽ điền 8 giá trị T, sau đó là 8 giá trị F</t>
  </si>
  <si>
    <t>Đạt ngưỡng (&gt;= 5000)</t>
  </si>
  <si>
    <t>Giảm lớn (20%)</t>
  </si>
  <si>
    <t>Giảm lớn + VIP (25%)</t>
  </si>
  <si>
    <t>Kịch bản vô lý</t>
  </si>
  <si>
    <t>Rule 9</t>
  </si>
  <si>
    <t>Rule 10</t>
  </si>
  <si>
    <t>Rule 11</t>
  </si>
  <si>
    <t>Rule 12</t>
  </si>
  <si>
    <t>Rule 13</t>
  </si>
  <si>
    <t>Rule 14</t>
  </si>
  <si>
    <t>Rule 15</t>
  </si>
  <si>
    <t>Rule 16</t>
  </si>
  <si>
    <t>Dữ liệu hợp lệ (&gt;= 0)</t>
  </si>
  <si>
    <t>Đi xa (&gt; 10km)</t>
  </si>
  <si>
    <t>Hàng nặng (&gt; 5kg)</t>
  </si>
  <si>
    <t>Giao tốc hành (Express)</t>
  </si>
  <si>
    <t>Thu phí cơ bản (15k)</t>
  </si>
  <si>
    <t>Phụ thu đi xa</t>
  </si>
  <si>
    <t>Phụ thu hàng nặng</t>
  </si>
  <si>
    <t>Nhân hệ số Tốc hành</t>
  </si>
  <si>
    <t>Rule 9-16 (Gộp)</t>
  </si>
  <si>
    <t>Do "Số tiền hợp lệ" là điều kiện tiên quyết, nếu sai (F) thì hệ thống lập tức báo lỗi bất kể các điều kiện khác ra sao. Gộp Rule 9 đến 16 thành 1 rule duy nhất.</t>
  </si>
  <si>
    <t>Do số tiền đã đạt ngưỡng siêu lớn (&gt;=5000) thì bắt buộc nó phải lớn hơn 1000. Các Rule có (Đạt ngưỡng 5000 là T) mà (Đạt ngưỡng 1000 là F) là hoàn toàn Vô lý. Loại bỏ Rule 5 và Rule 6.</t>
  </si>
  <si>
    <t>TC01 (Triển khai Rule 9-16 gộp): Nhập số tiền âm amount = -50. Hệ thống ném ngoại lệ dữ liệu.</t>
  </si>
  <si>
    <t>TC02 (Triển khai Rule 8): Đơn hàng bình thường, không VIP amount = 500, isVip = false. Không giảm giá (0.0).</t>
  </si>
  <si>
    <t>TC03 (Triển khai Rule 7): Đơn hàng bình thường, có VIP amount = 500, isVip = true. Chỉ giảm 5% ưu đãi VIP.</t>
  </si>
  <si>
    <t>TC04 (Triển khai Rule 4): Đơn hàng đạt ngưỡng cơ bản, không VIP amount = 1000, isVip = false. Chỉ giảm 10%.</t>
  </si>
  <si>
    <t>TC05 (Triển khai Rule 3): Đơn hàng đạt ngưỡng cơ bản, có VIP amount = 2000, isVip = true. Giảm tổng hợp 15%.</t>
  </si>
  <si>
    <t>TC06 (Triển khai Rule 2): Đơn siêu lớn, không VIP amount = 5000, isVip = false. Giảm 20% (Chạm trần giảm tối đa 1000).</t>
  </si>
  <si>
    <t>TC07 (Triển khai Rule 1 - Test BUG 2): Đơn siêu lớn, vượt trần hạn mức amount = 6000, isVip = false. Bị chặn trần ở mức 1000. (Phát hiện BUG dev gán nhầm thành 10000).</t>
  </si>
  <si>
    <t>TC08 (Bổ sung kịch bản Giá trị biên - Test BUG 1): Nhập số tiền lọt vào vùng đặc biệt amount = 300, isVip = false. Yêu cầu giảm cố định 10. (Phát hiện BUG dev gõ nhầm thành giảm 100).</t>
  </si>
  <si>
    <t>Các điều kiện: Dữ liệu hợp lệ (Khoảng cách &amp; Cân nặng &gt;= 0), Đi xa (&gt; 10km), Hàng nặng (&gt; 5kg), Giao tốc hành</t>
  </si>
  <si>
    <t>Hành động: Ném ngoại lệ, Thu phí cơ bản (15,000), Phụ thu đi xa, Phụ thu hàng nặng, Nhân hệ số tốc hành (1.5x).</t>
  </si>
  <si>
    <t>Điền giá trị cho điều kiện thứu hai:</t>
  </si>
  <si>
    <t>Điền giá trị cho điều kiện thứ bốn:</t>
  </si>
  <si>
    <t>Do "Dữ liệu hợp lệ (&gt;= 0)" là điều kiện tiên quyết. Nếu người dùng nhập khoảng cách âm hoặc cân nặng âm (F), hệ thống lập tức báo lỗi (Exception) và dừng lại, bất kể các điều kiện khác ra sao.</t>
  </si>
  <si>
    <t>Gộp Rule 9, 10, 11, 12, 13, 14, 15, 16 thành 1 rule báo lỗi duy nhất.</t>
  </si>
  <si>
    <t>TC01: Nhập khoảng cách âm distance = -5 (Triển khai Rule 9-16 gộp): Hệ thống ném ngoại lệ dữ liệu không hợp lệ.</t>
  </si>
  <si>
    <t>TC02: Đi gần, hàng nhẹ, giao thường distance = 5, weight = 2, isExpress = false (Triển khai Rule 8): Chỉ thu phí cơ bản 15k.</t>
  </si>
  <si>
    <t>TC03: Đi gần, hàng nhẹ, tốc hành distance = 5, weight = 2, isExpress = true (Triển khai Rule 7): Thu phí cơ bản x 1.5.</t>
  </si>
  <si>
    <t>TC04: Đi gần, hàng nặng, giao thường distance = 5, weight = 8, isExpress = false (Triển khai Rule 6): Thu phí cơ bản + phụ thu hàng nặng.</t>
  </si>
  <si>
    <t>TC05: Đi gần, hàng nặng, tốc hành distance = 5, weight = 8, isExpress = true (Triển khai Rule 5): Thu phí cơ bản + phụ thu nặng + nhân 1.5.</t>
  </si>
  <si>
    <t>TC06: Đi xa, hàng nhẹ, giao thường distance = 15, weight = 2, isExpress = false (Triển khai Rule 4): Thu phí cơ bản + phụ thu đi xa.</t>
  </si>
  <si>
    <t>TC07: Đi xa, hàng nhẹ, tốc hành distance = 15, weight = 2, isExpress = true (Triển khai Rule 3): Thu phí cơ bản + phụ thu đi xa + nhân 1.5.</t>
  </si>
  <si>
    <t>TC08: Đi xa, hàng nặng, giao thường distance = 15, weight = 8, isExpress = false (Triển khai Rule 2): Thu phí cơ bản + phụ thu đi xa + phụ thu nặng.</t>
  </si>
  <si>
    <t>TC09: Đi xa, hàng nặng, tốc hành distance = 15, weight = 8, isExpress = true (Triển khai Rule 1): Áp dụng combo tất cả các loại phí + nhân hệ số 1.5.</t>
  </si>
  <si>
    <t xml:space="preserve">	Báo cáo tổng hợp kết quả kiểm thử hộp trắng (JUnit) cho module OrderService. Ghi nhận 4 lỗi logic rẽ nhánh để làm cơ sở cho phần Verification.</t>
  </si>
  <si>
    <t>Mã Yêu Cầu</t>
  </si>
  <si>
    <t>Chức Năng</t>
  </si>
  <si>
    <t>Mô Tả Nhánh Nghiệp Vụ</t>
  </si>
  <si>
    <t>Mã Ca Kiểm Thử</t>
  </si>
  <si>
    <t>REQ-DISC-01</t>
  </si>
  <si>
    <t>calculateDiscount</t>
  </si>
  <si>
    <t>Bắt ngoại lệ khi số tiền đơn hàng nhỏ hơn hoặc bằng 0</t>
  </si>
  <si>
    <t>TC001</t>
  </si>
  <si>
    <t>REQ-DISC-02</t>
  </si>
  <si>
    <t>Đơn hàng nhỏ hơn 100 không áp dụng giảm giá</t>
  </si>
  <si>
    <t>TC002</t>
  </si>
  <si>
    <t>REQ-DISC-03</t>
  </si>
  <si>
    <t>Đơn hàng từ 100 đến 500 giảm cố định 10</t>
  </si>
  <si>
    <t>TC003</t>
  </si>
  <si>
    <t>REQ-DISC-04</t>
  </si>
  <si>
    <t>Khách VIP mua đơn hàng nhỏ giảm 5 phần trăm</t>
  </si>
  <si>
    <t>TC004</t>
  </si>
  <si>
    <t>REQ-DISC-05</t>
  </si>
  <si>
    <t>Đơn hàng lớn hơn 1000 giảm 10 phần trăm cơ bản</t>
  </si>
  <si>
    <t>TC005</t>
  </si>
  <si>
    <t>REQ-DISC-06</t>
  </si>
  <si>
    <t>Đơn hàng lớn hơn 1000 cộng Khách VIP giảm 15 phần trăm</t>
  </si>
  <si>
    <t>TC006</t>
  </si>
  <si>
    <t>REQ-DISC-07</t>
  </si>
  <si>
    <t>Đơn hàng lớn hơn 5000 giảm 20 phần trăm</t>
  </si>
  <si>
    <t>TC007</t>
  </si>
  <si>
    <t>REQ-DISC-08</t>
  </si>
  <si>
    <t>Chặn mức giảm giá tối đa giới hạn là 1000</t>
  </si>
  <si>
    <t>TC008</t>
  </si>
  <si>
    <t>REQ-SHIP-01</t>
  </si>
  <si>
    <t>calculateShipping</t>
  </si>
  <si>
    <t>Bắt ngoại lệ khi khoảng cách nhỏ hơn 0</t>
  </si>
  <si>
    <t>TC009</t>
  </si>
  <si>
    <t>REQ-SHIP-02</t>
  </si>
  <si>
    <t>Bắt ngoại lệ khi cân nặng nhỏ hơn 0</t>
  </si>
  <si>
    <t>TC010</t>
  </si>
  <si>
    <t>REQ-SHIP-03</t>
  </si>
  <si>
    <t>Phí vận chuyển cơ bản khoảng cách và cân nặng nhỏ</t>
  </si>
  <si>
    <t>TC011</t>
  </si>
  <si>
    <t>REQ-SHIP-04</t>
  </si>
  <si>
    <t>Phụ thu khoảng cách đi xa lớn hơn 10km</t>
  </si>
  <si>
    <t>TC012</t>
  </si>
  <si>
    <t>REQ-SHIP-05</t>
  </si>
  <si>
    <t>Phụ thu khoảng cách cực xa lớn hơn 50km</t>
  </si>
  <si>
    <t>TC013</t>
  </si>
  <si>
    <t>REQ-SHIP-06</t>
  </si>
  <si>
    <t>Phụ thu hàng hóa cồng kềnh lớn hơn 5kg</t>
  </si>
  <si>
    <t>TC014</t>
  </si>
  <si>
    <t>REQ-SHIP-07</t>
  </si>
  <si>
    <t>Phụ thu hàng hóa siêu nặng lớn hơn 10kg</t>
  </si>
  <si>
    <t>TC015</t>
  </si>
  <si>
    <t>REQ-SHIP-08</t>
  </si>
  <si>
    <t>Nhân hệ số Giao Tốc Hành gấp rưỡi</t>
  </si>
  <si>
    <t>TC016</t>
  </si>
  <si>
    <t>REQ-SHIP-09</t>
  </si>
  <si>
    <t>Chính sách Freeship miễn phí khi tổng cước lớn hơn 500k</t>
  </si>
  <si>
    <t>TC017</t>
  </si>
  <si>
    <t>ID lỗi</t>
  </si>
  <si>
    <t>Tiêu đề</t>
  </si>
  <si>
    <t>Mô-đun</t>
  </si>
  <si>
    <t>Mức độ</t>
  </si>
  <si>
    <t>Ưu tiên</t>
  </si>
  <si>
    <t>Bước tái hiện</t>
  </si>
  <si>
    <t>Ảnh/Video</t>
  </si>
  <si>
    <t>BUG-ORDER-001</t>
  </si>
  <si>
    <t>Tính sai số tiền giảm giá cố định cho đơn hàng nhỏ (từ 100 đến 500)</t>
  </si>
  <si>
    <t>Nghiêm trọng</t>
  </si>
  <si>
    <t>Cao</t>
  </si>
  <si>
    <t>Test failed. Expected: 10.0, Actual: 100.0. Hệ thống tự ý giảm 100.0.</t>
  </si>
  <si>
    <t>Trả về giá trị giảm giá là 10.0</t>
  </si>
  <si>
    <t>Log JUnit</t>
  </si>
  <si>
    <t>BUG-ORDER-002</t>
  </si>
  <si>
    <t>Xử lý sai logic chặn giới hạn số tiền giảm giá tối đa (Max 1000)</t>
  </si>
  <si>
    <t>Rất nghiêm trọng</t>
  </si>
  <si>
    <t>Test failed. Expected: 1000.0, Actual: 10000.0.</t>
  </si>
  <si>
    <t>Chặn giới hạn và trả về mức giảm trần là 1000.0</t>
  </si>
  <si>
    <t>BUG-ORDER-003</t>
  </si>
  <si>
    <t>Tính sai số tiền phụ thu đối với hàng hóa cồng kềnh (&gt; 5kg)</t>
  </si>
  <si>
    <t>Test failed. Expected: 35000.0, Actual: 215000.0.</t>
  </si>
  <si>
    <t>Tính phí cơ bản 15000 + Phụ phí nặng 20000 = 35000.0</t>
  </si>
  <si>
    <t>BUG-ORDER-004</t>
  </si>
  <si>
    <t>Xử lý sai chính sách Freeship, vẫn tính tiền 50,000</t>
  </si>
  <si>
    <t>Trung bình</t>
  </si>
  <si>
    <t>Test failed. Expected: 0.0, Actual: 50000.0.</t>
  </si>
  <si>
    <t>Vô hiệu hóa tiền cước và trả về 0.0 (Freeship)</t>
  </si>
  <si>
    <r>
      <t xml:space="preserve">Truyền tham số đầu vào: </t>
    </r>
    <r>
      <rPr>
        <sz val="12"/>
        <color rgb="FF444746"/>
        <rFont val="Times New Roman"/>
        <family val="1"/>
      </rPr>
      <t>amount = 300, isVip = false</t>
    </r>
  </si>
  <si>
    <r>
      <t xml:space="preserve">Truyền tham số đầu vào: </t>
    </r>
    <r>
      <rPr>
        <sz val="12"/>
        <color rgb="FF444746"/>
        <rFont val="Times New Roman"/>
        <family val="1"/>
      </rPr>
      <t>amount = 6000, isVip = false</t>
    </r>
  </si>
  <si>
    <r>
      <t xml:space="preserve">Truyền tham số đầu vào: </t>
    </r>
    <r>
      <rPr>
        <sz val="12"/>
        <color rgb="FF444746"/>
        <rFont val="Times New Roman"/>
        <family val="1"/>
      </rPr>
      <t>distance = 5, weight = 8, isExpress = false</t>
    </r>
  </si>
  <si>
    <r>
      <t xml:space="preserve">Truyền tham số đầu vào: </t>
    </r>
    <r>
      <rPr>
        <sz val="12"/>
        <color rgb="FF444746"/>
        <rFont val="Times New Roman"/>
        <family val="1"/>
      </rPr>
      <t>distance = 100, weight = 2, isExpress = false</t>
    </r>
  </si>
  <si>
    <t>Mở</t>
  </si>
  <si>
    <t>calculateShippingFee</t>
  </si>
  <si>
    <t>Log Junit</t>
  </si>
  <si>
    <t>76.5%</t>
  </si>
  <si>
    <t>100.0%</t>
  </si>
  <si>
    <t>Nhánh (Edge)</t>
  </si>
  <si>
    <t>Mô tả điều kiện</t>
  </si>
  <si>
    <t>TC phủ (Test Case tương ứng)</t>
  </si>
  <si>
    <t>N1-True</t>
  </si>
  <si>
    <t>N1-False</t>
  </si>
  <si>
    <t>TC02, TC03, TC04, TC05, TC06, TC07, TC08</t>
  </si>
  <si>
    <t>N4-True</t>
  </si>
  <si>
    <t>TC06, TC08</t>
  </si>
  <si>
    <t>N4-False</t>
  </si>
  <si>
    <t>amount &lt; 5000</t>
  </si>
  <si>
    <t>TC02, TC03, TC04, TC05, TC07</t>
  </si>
  <si>
    <t>N6-True</t>
  </si>
  <si>
    <t>TC04, TC05</t>
  </si>
  <si>
    <t>N6-False</t>
  </si>
  <si>
    <t>amount &lt; 1000</t>
  </si>
  <si>
    <t>TC02, TC03, TC07</t>
  </si>
  <si>
    <t>N8-True</t>
  </si>
  <si>
    <t>N8-False</t>
  </si>
  <si>
    <t>amount &lt;= 100</t>
  </si>
  <si>
    <t>N9-True</t>
  </si>
  <si>
    <t>N9-False</t>
  </si>
  <si>
    <t>amount &gt;= 500</t>
  </si>
  <si>
    <t>TC02, TC03</t>
  </si>
  <si>
    <t>N11-True</t>
  </si>
  <si>
    <t>TC03, TC05</t>
  </si>
  <si>
    <t>N11-False</t>
  </si>
  <si>
    <t>isVip == false</t>
  </si>
  <si>
    <t>TC02, TC04, TC06, TC07, TC08</t>
  </si>
  <si>
    <t>N13-True</t>
  </si>
  <si>
    <t>N13-False</t>
  </si>
  <si>
    <t>discount &lt;= 1000</t>
  </si>
  <si>
    <t>TC02, TC03, TC04, TC05, TC06, TC07</t>
  </si>
  <si>
    <r>
      <t>amount &lt;= 0</t>
    </r>
    <r>
      <rPr>
        <sz val="12"/>
        <color rgb="FF1F1F1F"/>
        <rFont val="Times New Roman"/>
        <family val="1"/>
      </rPr>
      <t xml:space="preserve"> là ĐÚNG (Báo lỗi)</t>
    </r>
  </si>
  <si>
    <r>
      <t>amount &gt; 0</t>
    </r>
    <r>
      <rPr>
        <sz val="12"/>
        <color rgb="FF1F1F1F"/>
        <rFont val="Times New Roman"/>
        <family val="1"/>
      </rPr>
      <t xml:space="preserve"> (Hợp lệ)</t>
    </r>
  </si>
  <si>
    <r>
      <t>amount &gt;= 5000</t>
    </r>
    <r>
      <rPr>
        <sz val="12"/>
        <color rgb="FF1F1F1F"/>
        <rFont val="Times New Roman"/>
        <family val="1"/>
      </rPr>
      <t xml:space="preserve"> là ĐÚNG</t>
    </r>
  </si>
  <si>
    <r>
      <t>amount &gt;= 1000</t>
    </r>
    <r>
      <rPr>
        <sz val="12"/>
        <color rgb="FF1F1F1F"/>
        <rFont val="Times New Roman"/>
        <family val="1"/>
      </rPr>
      <t xml:space="preserve"> là ĐÚNG</t>
    </r>
  </si>
  <si>
    <r>
      <t>amount &gt; 100</t>
    </r>
    <r>
      <rPr>
        <sz val="12"/>
        <color rgb="FF1F1F1F"/>
        <rFont val="Times New Roman"/>
        <family val="1"/>
      </rPr>
      <t xml:space="preserve"> là ĐÚNG</t>
    </r>
  </si>
  <si>
    <r>
      <t>amount &lt; 500</t>
    </r>
    <r>
      <rPr>
        <sz val="12"/>
        <color rgb="FF1F1F1F"/>
        <rFont val="Times New Roman"/>
        <family val="1"/>
      </rPr>
      <t xml:space="preserve"> là ĐÚNG</t>
    </r>
  </si>
  <si>
    <r>
      <t>isVip == true</t>
    </r>
    <r>
      <rPr>
        <sz val="12"/>
        <color rgb="FF1F1F1F"/>
        <rFont val="Times New Roman"/>
        <family val="1"/>
      </rPr>
      <t xml:space="preserve"> là ĐÚNG</t>
    </r>
  </si>
  <si>
    <r>
      <t>discount &gt; 1000</t>
    </r>
    <r>
      <rPr>
        <sz val="12"/>
        <color rgb="FF1F1F1F"/>
        <rFont val="Times New Roman"/>
        <family val="1"/>
      </rPr>
      <t xml:space="preserve"> là ĐÚNG</t>
    </r>
  </si>
  <si>
    <t xml:space="preserve">Nhánh </t>
  </si>
  <si>
    <t xml:space="preserve">TC phủ </t>
  </si>
  <si>
    <t>distance &gt;= 0</t>
  </si>
  <si>
    <t>TC02, TC03, TC04, TC05, TC06, TC07, TC08, TC09</t>
  </si>
  <si>
    <t>N2-True</t>
  </si>
  <si>
    <t>N2-False</t>
  </si>
  <si>
    <t>weight &gt;= 0</t>
  </si>
  <si>
    <t>TC03, TC04, TC05, TC06, TC07, TC08, TC09</t>
  </si>
  <si>
    <t>N5-True</t>
  </si>
  <si>
    <t>TC05, TC09</t>
  </si>
  <si>
    <t>N5-False</t>
  </si>
  <si>
    <t>distance &lt;= 50</t>
  </si>
  <si>
    <t>TC03, TC04, TC06, TC07, TC08</t>
  </si>
  <si>
    <t>N7-True</t>
  </si>
  <si>
    <t>TC04, TC07</t>
  </si>
  <si>
    <t>N7-False</t>
  </si>
  <si>
    <t>TC03, TC06, TC08</t>
  </si>
  <si>
    <t>TC06, TC07</t>
  </si>
  <si>
    <t>weight &lt;= 10</t>
  </si>
  <si>
    <t>TC03, TC04, TC05, TC08, TC09</t>
  </si>
  <si>
    <t>TC03, TC04, TC05, TC09</t>
  </si>
  <si>
    <t>isExpress == false</t>
  </si>
  <si>
    <t>TC03, TC04, TC05, TC06, TC08, TC09</t>
  </si>
  <si>
    <t>N15-True</t>
  </si>
  <si>
    <t>N15-False</t>
  </si>
  <si>
    <t>fee &lt; 500000</t>
  </si>
  <si>
    <t>TC03, TC04, TC05, TC06, TC07, TC08</t>
  </si>
  <si>
    <r>
      <t>distance &lt; 0</t>
    </r>
    <r>
      <rPr>
        <sz val="12"/>
        <color rgb="FF1F1F1F"/>
        <rFont val="Times New Roman"/>
        <family val="1"/>
      </rPr>
      <t xml:space="preserve"> là ĐÚNG (Báo lỗi)</t>
    </r>
  </si>
  <si>
    <r>
      <t>weight &lt; 0</t>
    </r>
    <r>
      <rPr>
        <sz val="12"/>
        <color rgb="FF1F1F1F"/>
        <rFont val="Times New Roman"/>
        <family val="1"/>
      </rPr>
      <t xml:space="preserve"> là ĐÚNG (Báo lỗi)</t>
    </r>
  </si>
  <si>
    <r>
      <t>distance &gt; 50</t>
    </r>
    <r>
      <rPr>
        <sz val="12"/>
        <color rgb="FF1F1F1F"/>
        <rFont val="Times New Roman"/>
        <family val="1"/>
      </rPr>
      <t xml:space="preserve"> là ĐÚNG (Cực xa)</t>
    </r>
  </si>
  <si>
    <r>
      <t>distance &gt; 10</t>
    </r>
    <r>
      <rPr>
        <sz val="12"/>
        <color rgb="FF1F1F1F"/>
        <rFont val="Times New Roman"/>
        <family val="1"/>
      </rPr>
      <t xml:space="preserve"> là ĐÚNG</t>
    </r>
  </si>
  <si>
    <r>
      <t>distance &lt;= 10</t>
    </r>
    <r>
      <rPr>
        <sz val="12"/>
        <color rgb="FF1F1F1F"/>
        <rFont val="Times New Roman"/>
        <family val="1"/>
      </rPr>
      <t xml:space="preserve"> (Gần)</t>
    </r>
  </si>
  <si>
    <r>
      <t>weight &gt; 10</t>
    </r>
    <r>
      <rPr>
        <sz val="12"/>
        <color rgb="FF1F1F1F"/>
        <rFont val="Times New Roman"/>
        <family val="1"/>
      </rPr>
      <t xml:space="preserve"> là ĐÚNG (Rất nặng)</t>
    </r>
  </si>
  <si>
    <r>
      <t>weight &gt; 5</t>
    </r>
    <r>
      <rPr>
        <sz val="12"/>
        <color rgb="FF1F1F1F"/>
        <rFont val="Times New Roman"/>
        <family val="1"/>
      </rPr>
      <t xml:space="preserve"> là ĐÚNG</t>
    </r>
  </si>
  <si>
    <r>
      <t>weight &lt;= 5</t>
    </r>
    <r>
      <rPr>
        <sz val="12"/>
        <color rgb="FF1F1F1F"/>
        <rFont val="Times New Roman"/>
        <family val="1"/>
      </rPr>
      <t xml:space="preserve"> (Nhẹ)</t>
    </r>
  </si>
  <si>
    <r>
      <t>isExpress == true</t>
    </r>
    <r>
      <rPr>
        <sz val="12"/>
        <color rgb="FF1F1F1F"/>
        <rFont val="Times New Roman"/>
        <family val="1"/>
      </rPr>
      <t xml:space="preserve"> là ĐÚNG</t>
    </r>
  </si>
  <si>
    <r>
      <t>fee &gt;= 500000</t>
    </r>
    <r>
      <rPr>
        <sz val="12"/>
        <color rgb="FF1F1F1F"/>
        <rFont val="Times New Roman"/>
        <family val="1"/>
      </rPr>
      <t xml:space="preserve"> là ĐÚNG (Freeship)</t>
    </r>
  </si>
  <si>
    <t>Số lượng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</si>
</sst>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1"/>
      <color theme="1"/>
      <name val="Calibri"/>
      <family val="2"/>
      <charset val="163"/>
      <scheme val="minor"/>
    </font>
    <font>
      <sz val="12"/>
      <color theme="1"/>
      <name val="Times New Roman"/>
      <family val="1"/>
    </font>
    <font>
      <sz val="12"/>
      <color rgb="FF1F1F1F"/>
      <name val="Times New Roman"/>
      <family val="1"/>
    </font>
    <font>
      <sz val="11"/>
      <color rgb="FF1F1F1F"/>
      <name val="Arial"/>
      <family val="2"/>
    </font>
    <font>
      <b/>
      <sz val="11"/>
      <color rgb="FF1F1F1F"/>
      <name val="Arial"/>
      <family val="2"/>
    </font>
    <font>
      <sz val="12"/>
      <color rgb="FFFF0000"/>
      <name val="Times New Roman"/>
      <family val="1"/>
    </font>
    <font>
      <b/>
      <sz val="18"/>
      <color theme="9" tint="-0.249977111117893"/>
      <name val="Times New Roman"/>
      <family val="1"/>
    </font>
    <font>
      <sz val="12"/>
      <color theme="9" tint="-0.249977111117893"/>
      <name val="Times New Roman"/>
      <family val="1"/>
    </font>
    <font>
      <sz val="12"/>
      <color theme="8" tint="-0.249977111117893"/>
      <name val="Times New Roman"/>
      <family val="1"/>
    </font>
    <font>
      <b/>
      <sz val="12"/>
      <color theme="1"/>
      <name val="Times New Roman"/>
      <family val="1"/>
    </font>
    <font>
      <b/>
      <sz val="16"/>
      <color theme="1"/>
      <name val="Times New Roman"/>
      <family val="1"/>
    </font>
    <font>
      <b/>
      <sz val="12"/>
      <color rgb="FF1F1F1F"/>
      <name val="Times New Roman"/>
      <family val="1"/>
    </font>
    <font>
      <sz val="11"/>
      <color rgb="FF3F3F76"/>
      <name val="Calibri"/>
      <family val="2"/>
      <charset val="163"/>
      <scheme val="minor"/>
    </font>
    <font>
      <b/>
      <sz val="11"/>
      <color theme="1"/>
      <name val="Calibri"/>
      <family val="2"/>
      <charset val="163"/>
      <scheme val="minor"/>
    </font>
    <font>
      <sz val="12"/>
      <color rgb="FF444746"/>
      <name val="Times New Roman"/>
      <family val="1"/>
    </font>
    <font>
      <b/>
      <sz val="11"/>
      <color theme="1"/>
      <name val="Calibri"/>
      <family val="2"/>
      <scheme val="minor"/>
    </font>
  </fonts>
  <fills count="7">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
      <patternFill patternType="solid">
        <fgColor theme="0"/>
        <bgColor indexed="64"/>
      </patternFill>
    </fill>
    <fill>
      <patternFill patternType="solid">
        <fgColor rgb="FFFFCC99"/>
      </patternFill>
    </fill>
    <fill>
      <patternFill patternType="solid">
        <fgColor theme="5" tint="0.59999389629810485"/>
        <bgColor indexed="65"/>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rgb="FF7F7F7F"/>
      </left>
      <right style="thin">
        <color rgb="FF7F7F7F"/>
      </right>
      <top style="thin">
        <color rgb="FF7F7F7F"/>
      </top>
      <bottom style="thin">
        <color rgb="FF7F7F7F"/>
      </bottom>
      <diagonal/>
    </border>
    <border>
      <left style="medium">
        <color rgb="FF000000"/>
      </left>
      <right style="medium">
        <color rgb="FF000000"/>
      </right>
      <top style="medium">
        <color rgb="FF000000"/>
      </top>
      <bottom style="medium">
        <color rgb="FF000000"/>
      </bottom>
      <diagonal/>
    </border>
  </borders>
  <cellStyleXfs count="3">
    <xf numFmtId="0" fontId="0" fillId="0" borderId="0"/>
    <xf numFmtId="0" fontId="13" fillId="5" borderId="9" applyNumberFormat="0" applyAlignment="0" applyProtection="0"/>
    <xf numFmtId="0" fontId="1" fillId="6" borderId="0" applyNumberFormat="0" applyBorder="0" applyAlignment="0" applyProtection="0"/>
  </cellStyleXfs>
  <cellXfs count="77">
    <xf numFmtId="0" fontId="0" fillId="0" borderId="0" xfId="0"/>
    <xf numFmtId="0" fontId="2" fillId="0" borderId="1" xfId="0" applyFont="1" applyBorder="1" applyAlignment="1">
      <alignment horizontal="left" vertical="center"/>
    </xf>
    <xf numFmtId="0" fontId="2" fillId="0" borderId="0" xfId="0" applyFont="1" applyBorder="1" applyAlignment="1">
      <alignment horizontal="left"/>
    </xf>
    <xf numFmtId="0" fontId="3" fillId="0" borderId="0" xfId="0" applyFont="1" applyBorder="1" applyAlignment="1">
      <alignment horizontal="left" vertical="center" readingOrder="1"/>
    </xf>
    <xf numFmtId="0" fontId="3" fillId="0" borderId="0" xfId="0" applyFont="1" applyBorder="1" applyAlignment="1">
      <alignment horizontal="left" vertical="center" readingOrder="1"/>
    </xf>
    <xf numFmtId="0" fontId="2" fillId="0" borderId="0" xfId="0" applyFont="1" applyBorder="1" applyAlignment="1">
      <alignment horizontal="left" vertical="center"/>
    </xf>
    <xf numFmtId="0" fontId="3" fillId="0" borderId="0" xfId="0" applyFont="1" applyBorder="1" applyAlignment="1">
      <alignment horizontal="left" vertical="center" wrapText="1" readingOrder="1"/>
    </xf>
    <xf numFmtId="0" fontId="2" fillId="0" borderId="0" xfId="0" applyFont="1" applyBorder="1" applyAlignment="1">
      <alignment horizontal="left" wrapText="1"/>
    </xf>
    <xf numFmtId="0" fontId="2" fillId="0" borderId="1" xfId="0" applyFont="1" applyBorder="1" applyAlignment="1">
      <alignment horizontal="left" vertical="center" wrapText="1"/>
    </xf>
    <xf numFmtId="0" fontId="2" fillId="0" borderId="0" xfId="0" applyFont="1" applyBorder="1" applyAlignment="1">
      <alignment horizontal="left"/>
    </xf>
    <xf numFmtId="0" fontId="5" fillId="0" borderId="0" xfId="0" applyFont="1" applyBorder="1" applyAlignment="1">
      <alignment horizontal="left" vertical="center" wrapText="1" indent="1" readingOrder="1"/>
    </xf>
    <xf numFmtId="0" fontId="4" fillId="0" borderId="0" xfId="0" applyFont="1" applyBorder="1" applyAlignment="1">
      <alignment horizontal="left" vertical="center" wrapText="1" indent="1" readingOrder="1"/>
    </xf>
    <xf numFmtId="14" fontId="4" fillId="0" borderId="0" xfId="0" applyNumberFormat="1" applyFont="1" applyBorder="1" applyAlignment="1">
      <alignment horizontal="left" vertical="center" wrapText="1" indent="1" readingOrder="1"/>
    </xf>
    <xf numFmtId="0" fontId="3" fillId="0" borderId="0" xfId="0" applyFont="1" applyBorder="1" applyAlignment="1">
      <alignment horizontal="left" vertical="center" wrapText="1" indent="1" readingOrder="1"/>
    </xf>
    <xf numFmtId="14" fontId="3" fillId="0" borderId="0" xfId="0" applyNumberFormat="1" applyFont="1" applyBorder="1" applyAlignment="1">
      <alignment horizontal="left" vertical="center" readingOrder="1"/>
    </xf>
    <xf numFmtId="0" fontId="2" fillId="0" borderId="0" xfId="0" applyFont="1"/>
    <xf numFmtId="0" fontId="2" fillId="0" borderId="0" xfId="0" applyFont="1" applyAlignment="1">
      <alignment horizontal="left"/>
    </xf>
    <xf numFmtId="0" fontId="3" fillId="0" borderId="1" xfId="0" applyFont="1" applyBorder="1" applyAlignment="1">
      <alignment horizontal="left" vertical="center" readingOrder="1"/>
    </xf>
    <xf numFmtId="0" fontId="2" fillId="0" borderId="0" xfId="0" applyFont="1" applyBorder="1" applyAlignment="1">
      <alignment horizontal="left"/>
    </xf>
    <xf numFmtId="0" fontId="2" fillId="0" borderId="0" xfId="0" applyFont="1" applyAlignment="1">
      <alignment horizontal="center"/>
    </xf>
    <xf numFmtId="0" fontId="2" fillId="0" borderId="1" xfId="0" applyFont="1" applyBorder="1" applyAlignment="1">
      <alignment horizontal="center" vertical="center" wrapText="1"/>
    </xf>
    <xf numFmtId="9" fontId="2" fillId="0" borderId="1" xfId="0" applyNumberFormat="1" applyFont="1" applyBorder="1" applyAlignment="1">
      <alignment horizontal="center" vertical="center" wrapText="1"/>
    </xf>
    <xf numFmtId="9" fontId="9" fillId="0" borderId="0" xfId="0" applyNumberFormat="1" applyFont="1" applyAlignment="1">
      <alignment horizontal="center" vertical="center"/>
    </xf>
    <xf numFmtId="0" fontId="9" fillId="0" borderId="0" xfId="0" applyFont="1" applyAlignment="1">
      <alignment horizontal="center"/>
    </xf>
    <xf numFmtId="0" fontId="10" fillId="2" borderId="1" xfId="0" applyFont="1" applyFill="1" applyBorder="1" applyAlignment="1">
      <alignment horizontal="center" vertical="center" wrapText="1"/>
    </xf>
    <xf numFmtId="0" fontId="3" fillId="4" borderId="0" xfId="0" applyFont="1" applyFill="1" applyBorder="1" applyAlignment="1">
      <alignment horizontal="left" vertical="center" readingOrder="1"/>
    </xf>
    <xf numFmtId="14" fontId="3" fillId="0" borderId="1" xfId="0" applyNumberFormat="1" applyFont="1" applyBorder="1" applyAlignment="1">
      <alignment horizontal="left" vertical="center" readingOrder="1"/>
    </xf>
    <xf numFmtId="0" fontId="10" fillId="0" borderId="0" xfId="0" applyFont="1" applyBorder="1" applyAlignment="1">
      <alignment horizontal="left"/>
    </xf>
    <xf numFmtId="0" fontId="10" fillId="0" borderId="1" xfId="0" applyFont="1" applyBorder="1" applyAlignment="1">
      <alignment horizontal="left" vertical="center" wrapText="1"/>
    </xf>
    <xf numFmtId="0" fontId="3" fillId="0" borderId="6" xfId="0" applyFont="1" applyBorder="1" applyAlignment="1">
      <alignment horizontal="left" vertical="center" readingOrder="1"/>
    </xf>
    <xf numFmtId="0" fontId="12" fillId="3" borderId="0" xfId="0" applyFont="1" applyFill="1" applyBorder="1" applyAlignment="1">
      <alignment horizontal="left" vertical="center" readingOrder="1"/>
    </xf>
    <xf numFmtId="0" fontId="2" fillId="0" borderId="0" xfId="0" applyFont="1" applyBorder="1" applyAlignment="1">
      <alignment horizontal="center" vertical="center" wrapText="1"/>
    </xf>
    <xf numFmtId="0" fontId="9" fillId="0" borderId="0" xfId="0" applyFont="1" applyBorder="1" applyAlignment="1">
      <alignment horizontal="center" vertical="center" wrapText="1"/>
    </xf>
    <xf numFmtId="9" fontId="9" fillId="0" borderId="0" xfId="0" applyNumberFormat="1" applyFont="1" applyBorder="1" applyAlignment="1">
      <alignment horizontal="center" vertical="center" wrapText="1"/>
    </xf>
    <xf numFmtId="0" fontId="10" fillId="3" borderId="5" xfId="0" applyFont="1" applyFill="1" applyBorder="1" applyAlignment="1">
      <alignment horizontal="left" wrapText="1"/>
    </xf>
    <xf numFmtId="0" fontId="2" fillId="0" borderId="0" xfId="0" applyFont="1" applyBorder="1" applyAlignment="1">
      <alignment horizontal="center" vertical="center" wrapText="1"/>
    </xf>
    <xf numFmtId="0" fontId="10" fillId="2" borderId="5" xfId="0" applyFont="1" applyFill="1" applyBorder="1" applyAlignment="1">
      <alignment horizontal="center" vertical="center" wrapText="1"/>
    </xf>
    <xf numFmtId="0" fontId="3" fillId="0" borderId="0" xfId="0" applyFont="1" applyBorder="1" applyAlignment="1">
      <alignment horizontal="left" vertical="center" readingOrder="1"/>
    </xf>
    <xf numFmtId="0" fontId="2" fillId="0" borderId="1" xfId="0" applyFont="1" applyBorder="1" applyAlignment="1">
      <alignment wrapText="1"/>
    </xf>
    <xf numFmtId="0" fontId="2" fillId="0" borderId="1" xfId="0" applyFont="1" applyBorder="1" applyAlignment="1">
      <alignment horizontal="center" wrapText="1"/>
    </xf>
    <xf numFmtId="0" fontId="0" fillId="0" borderId="0" xfId="0" applyAlignment="1">
      <alignment vertical="center" wrapText="1"/>
    </xf>
    <xf numFmtId="0" fontId="12" fillId="3" borderId="5" xfId="0" applyFont="1" applyFill="1" applyBorder="1" applyAlignment="1">
      <alignment horizontal="left" vertical="center" wrapText="1" readingOrder="1"/>
    </xf>
    <xf numFmtId="0" fontId="12" fillId="3" borderId="5" xfId="0" applyFont="1" applyFill="1" applyBorder="1" applyAlignment="1">
      <alignment horizontal="left" vertical="center" readingOrder="1"/>
    </xf>
    <xf numFmtId="0" fontId="10" fillId="3" borderId="5" xfId="0" applyFont="1" applyFill="1" applyBorder="1" applyAlignment="1">
      <alignment horizontal="left"/>
    </xf>
    <xf numFmtId="0" fontId="10" fillId="3" borderId="5" xfId="0" applyFont="1" applyFill="1" applyBorder="1" applyAlignment="1">
      <alignment horizontal="left" vertical="center"/>
    </xf>
    <xf numFmtId="0" fontId="12" fillId="3" borderId="5" xfId="0" applyFont="1" applyFill="1" applyBorder="1" applyAlignment="1">
      <alignment horizontal="left" vertical="center" wrapText="1" indent="1" readingOrder="1"/>
    </xf>
    <xf numFmtId="0" fontId="2" fillId="0" borderId="1" xfId="0" applyFont="1" applyBorder="1" applyAlignment="1">
      <alignment vertical="center"/>
    </xf>
    <xf numFmtId="0" fontId="10" fillId="0" borderId="1" xfId="0" applyFont="1" applyBorder="1" applyAlignment="1">
      <alignment wrapText="1"/>
    </xf>
    <xf numFmtId="0" fontId="14" fillId="0" borderId="0" xfId="0" applyFont="1"/>
    <xf numFmtId="0" fontId="13" fillId="5" borderId="9" xfId="1" applyAlignment="1">
      <alignment horizontal="center" vertical="center" wrapText="1"/>
    </xf>
    <xf numFmtId="0" fontId="3" fillId="0" borderId="10" xfId="0" applyFont="1" applyBorder="1" applyAlignment="1">
      <alignment horizontal="center" vertical="center" wrapText="1" readingOrder="1"/>
    </xf>
    <xf numFmtId="0" fontId="1" fillId="6" borderId="10" xfId="2" applyBorder="1" applyAlignment="1">
      <alignment horizontal="center" vertical="center" wrapText="1" readingOrder="1"/>
    </xf>
    <xf numFmtId="0" fontId="15" fillId="0" borderId="1" xfId="0" applyFont="1" applyBorder="1" applyAlignment="1">
      <alignment horizontal="left" vertical="center" wrapText="1" readingOrder="1"/>
    </xf>
    <xf numFmtId="0" fontId="3" fillId="0" borderId="1" xfId="0" applyFont="1" applyBorder="1" applyAlignment="1">
      <alignment horizontal="left" vertical="center" wrapText="1" readingOrder="1"/>
    </xf>
    <xf numFmtId="0" fontId="1" fillId="6" borderId="1" xfId="2" applyBorder="1" applyAlignment="1">
      <alignment horizontal="center" vertical="center" wrapText="1" readingOrder="1"/>
    </xf>
    <xf numFmtId="0" fontId="0" fillId="0" borderId="0" xfId="0" applyAlignment="1">
      <alignment wrapText="1"/>
    </xf>
    <xf numFmtId="0" fontId="2" fillId="0" borderId="2" xfId="0" applyFont="1" applyBorder="1" applyAlignment="1">
      <alignment horizontal="center" wrapText="1"/>
    </xf>
    <xf numFmtId="0" fontId="2" fillId="0" borderId="3" xfId="0" applyFont="1" applyBorder="1" applyAlignment="1">
      <alignment horizontal="center" wrapText="1"/>
    </xf>
    <xf numFmtId="0" fontId="2" fillId="0" borderId="4" xfId="0" applyFont="1" applyBorder="1" applyAlignment="1">
      <alignment horizontal="center" wrapText="1"/>
    </xf>
    <xf numFmtId="0" fontId="11" fillId="0" borderId="0" xfId="0" applyFont="1" applyBorder="1" applyAlignment="1">
      <alignment horizontal="center"/>
    </xf>
    <xf numFmtId="0" fontId="3" fillId="0" borderId="1" xfId="0" applyFont="1" applyBorder="1" applyAlignment="1">
      <alignment horizontal="left" vertical="center" readingOrder="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7" fillId="0" borderId="0" xfId="0" applyFont="1" applyAlignment="1">
      <alignment horizontal="center"/>
    </xf>
    <xf numFmtId="0" fontId="2" fillId="0" borderId="0" xfId="0" applyFont="1" applyAlignment="1">
      <alignment horizontal="right"/>
    </xf>
    <xf numFmtId="0" fontId="6" fillId="0" borderId="0" xfId="0" applyFont="1" applyAlignment="1">
      <alignment horizontal="center" vertical="center"/>
    </xf>
    <xf numFmtId="0" fontId="2" fillId="0" borderId="0" xfId="0" applyFont="1" applyAlignment="1">
      <alignment horizontal="left" vertical="center" wrapText="1"/>
    </xf>
    <xf numFmtId="0" fontId="6" fillId="0" borderId="0" xfId="0" applyFont="1" applyAlignment="1">
      <alignment horizontal="center"/>
    </xf>
    <xf numFmtId="0" fontId="8" fillId="0" borderId="0" xfId="0" applyFont="1" applyAlignment="1">
      <alignment horizontal="center"/>
    </xf>
    <xf numFmtId="0" fontId="2" fillId="2" borderId="7"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0" borderId="2" xfId="0" applyFont="1" applyBorder="1" applyAlignment="1">
      <alignment vertical="center" wrapText="1"/>
    </xf>
    <xf numFmtId="0" fontId="10" fillId="2" borderId="2" xfId="0" applyFont="1" applyFill="1" applyBorder="1" applyAlignment="1">
      <alignment vertical="center" wrapText="1"/>
    </xf>
    <xf numFmtId="0" fontId="2" fillId="0" borderId="0" xfId="0" applyFont="1" applyBorder="1" applyAlignment="1">
      <alignment vertical="center" wrapText="1"/>
    </xf>
    <xf numFmtId="0" fontId="2" fillId="4" borderId="0" xfId="0" applyFont="1" applyFill="1" applyBorder="1" applyAlignment="1">
      <alignment vertical="center" wrapText="1"/>
    </xf>
    <xf numFmtId="0" fontId="16" fillId="0" borderId="0" xfId="0" applyFont="1" applyAlignment="1">
      <alignment horizontal="center" vertical="center" wrapText="1"/>
    </xf>
  </cellXfs>
  <cellStyles count="3">
    <cellStyle name="40% - Accent2" xfId="2" builtinId="35"/>
    <cellStyle name="Input" xfId="1" builtinId="20"/>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THỐNG KÊ LỖI THEO MODULE </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barChart>
        <c:barDir val="col"/>
        <c:grouping val="clustered"/>
        <c:varyColors val="0"/>
        <c:ser>
          <c:idx val="0"/>
          <c:order val="0"/>
          <c:tx>
            <c:strRef>
              <c:f>'Báo cáo tổng kết'!$E$10</c:f>
              <c:strCache>
                <c:ptCount val="1"/>
                <c:pt idx="0">
                  <c:v>Lỗi </c:v>
                </c:pt>
              </c:strCache>
            </c:strRef>
          </c:tx>
          <c:spPr>
            <a:pattFill prst="ltUpDiag">
              <a:fgClr>
                <a:schemeClr val="accent1"/>
              </a:fgClr>
              <a:bgClr>
                <a:schemeClr val="lt1"/>
              </a:bgClr>
            </a:pattFill>
            <a:ln>
              <a:noFill/>
            </a:ln>
            <a:effectLst/>
          </c:spPr>
          <c:invertIfNegative val="0"/>
          <c:dLbls>
            <c:spPr>
              <a:solidFill>
                <a:srgbClr val="5B9B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('Báo cáo tổng kết'!$B$11,'Báo cáo tổng kết'!$B$12)</c:f>
              <c:strCache>
                <c:ptCount val="2"/>
                <c:pt idx="0">
                  <c:v>Chức năng Tính Giảm giá (Kiểm tra ngoại lệ, biên, logic ưu đãi)</c:v>
                </c:pt>
                <c:pt idx="1">
                  <c:v>Chức năng Tính Phí vận chuyển (Kiểm tra phụ phí km, hàng nặng, tốc hành)</c:v>
                </c:pt>
              </c:strCache>
            </c:strRef>
          </c:cat>
          <c:val>
            <c:numRef>
              <c:f>('Báo cáo tổng kết'!$E$11,'Báo cáo tổng kết'!$E$12)</c:f>
              <c:numCache>
                <c:formatCode>General</c:formatCode>
                <c:ptCount val="2"/>
                <c:pt idx="0">
                  <c:v>2</c:v>
                </c:pt>
                <c:pt idx="1">
                  <c:v>2</c:v>
                </c:pt>
              </c:numCache>
            </c:numRef>
          </c:val>
          <c:extLst>
            <c:ext xmlns:c16="http://schemas.microsoft.com/office/drawing/2014/chart" uri="{C3380CC4-5D6E-409C-BE32-E72D297353CC}">
              <c16:uniqueId val="{00000000-DF3D-4572-AEE2-34B043C14F28}"/>
            </c:ext>
          </c:extLst>
        </c:ser>
        <c:dLbls>
          <c:dLblPos val="outEnd"/>
          <c:showLegendKey val="0"/>
          <c:showVal val="1"/>
          <c:showCatName val="0"/>
          <c:showSerName val="0"/>
          <c:showPercent val="0"/>
          <c:showBubbleSize val="0"/>
        </c:dLbls>
        <c:gapWidth val="150"/>
        <c:axId val="1071562079"/>
        <c:axId val="1071564479"/>
      </c:barChart>
      <c:catAx>
        <c:axId val="1071562079"/>
        <c:scaling>
          <c:orientation val="minMax"/>
        </c:scaling>
        <c:delete val="0"/>
        <c:axPos val="b"/>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071564479"/>
        <c:crosses val="autoZero"/>
        <c:auto val="1"/>
        <c:lblAlgn val="ctr"/>
        <c:lblOffset val="100"/>
        <c:noMultiLvlLbl val="0"/>
      </c:catAx>
      <c:valAx>
        <c:axId val="1071564479"/>
        <c:scaling>
          <c:orientation val="minMax"/>
        </c:scaling>
        <c:delete val="0"/>
        <c:axPos val="l"/>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71562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THỐNG KÊ LỖI THEO MỨC ĐỘ</a:t>
            </a:r>
            <a:endParaRPr lang="vi-VN"/>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barChart>
        <c:barDir val="col"/>
        <c:grouping val="clustered"/>
        <c:varyColors val="0"/>
        <c:ser>
          <c:idx val="0"/>
          <c:order val="0"/>
          <c:tx>
            <c:strRef>
              <c:f>Bug!$B$65</c:f>
              <c:strCache>
                <c:ptCount val="1"/>
                <c:pt idx="0">
                  <c:v>Số lượng</c:v>
                </c:pt>
              </c:strCache>
            </c:strRef>
          </c:tx>
          <c:spPr>
            <a:pattFill prst="ltUpDiag">
              <a:fgClr>
                <a:schemeClr val="accent1"/>
              </a:fgClr>
              <a:bgClr>
                <a:schemeClr val="lt1"/>
              </a:bgClr>
            </a:pattFill>
            <a:ln>
              <a:noFill/>
            </a:ln>
            <a:effectLst/>
          </c:spPr>
          <c:invertIfNegative val="0"/>
          <c:dLbls>
            <c:spPr>
              <a:solidFill>
                <a:srgbClr val="5B9B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Bug!$A$66:$A$67</c:f>
              <c:strCache>
                <c:ptCount val="2"/>
                <c:pt idx="0">
                  <c:v>Rất nghiêm trọng</c:v>
                </c:pt>
                <c:pt idx="1">
                  <c:v>Nghiêm trọng</c:v>
                </c:pt>
              </c:strCache>
            </c:strRef>
          </c:cat>
          <c:val>
            <c:numRef>
              <c:f>Bug!$B$66:$B$67</c:f>
              <c:numCache>
                <c:formatCode>General</c:formatCode>
                <c:ptCount val="2"/>
                <c:pt idx="0">
                  <c:v>1</c:v>
                </c:pt>
                <c:pt idx="1">
                  <c:v>3</c:v>
                </c:pt>
              </c:numCache>
            </c:numRef>
          </c:val>
          <c:extLst>
            <c:ext xmlns:c16="http://schemas.microsoft.com/office/drawing/2014/chart" uri="{C3380CC4-5D6E-409C-BE32-E72D297353CC}">
              <c16:uniqueId val="{00000000-8749-4777-B236-CC2507C0F433}"/>
            </c:ext>
          </c:extLst>
        </c:ser>
        <c:dLbls>
          <c:dLblPos val="outEnd"/>
          <c:showLegendKey val="0"/>
          <c:showVal val="1"/>
          <c:showCatName val="0"/>
          <c:showSerName val="0"/>
          <c:showPercent val="0"/>
          <c:showBubbleSize val="0"/>
        </c:dLbls>
        <c:gapWidth val="150"/>
        <c:axId val="1071581759"/>
        <c:axId val="1071587999"/>
      </c:barChart>
      <c:catAx>
        <c:axId val="1071581759"/>
        <c:scaling>
          <c:orientation val="minMax"/>
        </c:scaling>
        <c:delete val="0"/>
        <c:axPos val="b"/>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071587999"/>
        <c:crosses val="autoZero"/>
        <c:auto val="1"/>
        <c:lblAlgn val="ctr"/>
        <c:lblOffset val="100"/>
        <c:noMultiLvlLbl val="0"/>
      </c:catAx>
      <c:valAx>
        <c:axId val="1071587999"/>
        <c:scaling>
          <c:orientation val="minMax"/>
        </c:scaling>
        <c:delete val="0"/>
        <c:axPos val="l"/>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71581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chart" Target="../charts/chart2.xml"/><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10</xdr:col>
      <xdr:colOff>650557</xdr:colOff>
      <xdr:row>7</xdr:row>
      <xdr:rowOff>132397</xdr:rowOff>
    </xdr:from>
    <xdr:to>
      <xdr:col>18</xdr:col>
      <xdr:colOff>181927</xdr:colOff>
      <xdr:row>13</xdr:row>
      <xdr:rowOff>221932</xdr:rowOff>
    </xdr:to>
    <xdr:graphicFrame macro="">
      <xdr:nvGraphicFramePr>
        <xdr:cNvPr id="11" name="Chart 10">
          <a:extLst>
            <a:ext uri="{FF2B5EF4-FFF2-40B4-BE49-F238E27FC236}">
              <a16:creationId xmlns:a16="http://schemas.microsoft.com/office/drawing/2014/main" id="{095CB45D-7AF4-5F05-7633-4289B821DC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480059</xdr:colOff>
      <xdr:row>3</xdr:row>
      <xdr:rowOff>70265</xdr:rowOff>
    </xdr:from>
    <xdr:to>
      <xdr:col>9</xdr:col>
      <xdr:colOff>4777740</xdr:colOff>
      <xdr:row>3</xdr:row>
      <xdr:rowOff>1008161</xdr:rowOff>
    </xdr:to>
    <xdr:pic>
      <xdr:nvPicPr>
        <xdr:cNvPr id="2" name="Picture 1">
          <a:extLst>
            <a:ext uri="{FF2B5EF4-FFF2-40B4-BE49-F238E27FC236}">
              <a16:creationId xmlns:a16="http://schemas.microsoft.com/office/drawing/2014/main" id="{7BEE36D4-FBE1-0B62-68FA-01EBB70D0447}"/>
            </a:ext>
          </a:extLst>
        </xdr:cNvPr>
        <xdr:cNvPicPr>
          <a:picLocks noChangeAspect="1"/>
        </xdr:cNvPicPr>
      </xdr:nvPicPr>
      <xdr:blipFill>
        <a:blip xmlns:r="http://schemas.openxmlformats.org/officeDocument/2006/relationships" r:embed="rId1"/>
        <a:stretch>
          <a:fillRect/>
        </a:stretch>
      </xdr:blipFill>
      <xdr:spPr>
        <a:xfrm>
          <a:off x="11976734" y="2346740"/>
          <a:ext cx="4301491" cy="941706"/>
        </a:xfrm>
        <a:prstGeom prst="rect">
          <a:avLst/>
        </a:prstGeom>
      </xdr:spPr>
    </xdr:pic>
    <xdr:clientData/>
  </xdr:twoCellAnchor>
  <xdr:twoCellAnchor editAs="oneCell">
    <xdr:from>
      <xdr:col>9</xdr:col>
      <xdr:colOff>704850</xdr:colOff>
      <xdr:row>2</xdr:row>
      <xdr:rowOff>28152</xdr:rowOff>
    </xdr:from>
    <xdr:to>
      <xdr:col>9</xdr:col>
      <xdr:colOff>4512944</xdr:colOff>
      <xdr:row>2</xdr:row>
      <xdr:rowOff>897579</xdr:rowOff>
    </xdr:to>
    <xdr:pic>
      <xdr:nvPicPr>
        <xdr:cNvPr id="3" name="Picture 2">
          <a:extLst>
            <a:ext uri="{FF2B5EF4-FFF2-40B4-BE49-F238E27FC236}">
              <a16:creationId xmlns:a16="http://schemas.microsoft.com/office/drawing/2014/main" id="{7DAF21A9-F90D-F4A6-3F88-1BBD5875CE08}"/>
            </a:ext>
          </a:extLst>
        </xdr:cNvPr>
        <xdr:cNvPicPr>
          <a:picLocks noChangeAspect="1"/>
        </xdr:cNvPicPr>
      </xdr:nvPicPr>
      <xdr:blipFill>
        <a:blip xmlns:r="http://schemas.openxmlformats.org/officeDocument/2006/relationships" r:embed="rId2"/>
        <a:stretch>
          <a:fillRect/>
        </a:stretch>
      </xdr:blipFill>
      <xdr:spPr>
        <a:xfrm>
          <a:off x="12201525" y="1371177"/>
          <a:ext cx="3811904" cy="877047"/>
        </a:xfrm>
        <a:prstGeom prst="rect">
          <a:avLst/>
        </a:prstGeom>
      </xdr:spPr>
    </xdr:pic>
    <xdr:clientData/>
  </xdr:twoCellAnchor>
  <xdr:twoCellAnchor editAs="oneCell">
    <xdr:from>
      <xdr:col>9</xdr:col>
      <xdr:colOff>240031</xdr:colOff>
      <xdr:row>1</xdr:row>
      <xdr:rowOff>40754</xdr:rowOff>
    </xdr:from>
    <xdr:to>
      <xdr:col>9</xdr:col>
      <xdr:colOff>4893577</xdr:colOff>
      <xdr:row>1</xdr:row>
      <xdr:rowOff>1085850</xdr:rowOff>
    </xdr:to>
    <xdr:pic>
      <xdr:nvPicPr>
        <xdr:cNvPr id="5" name="Picture 4">
          <a:extLst>
            <a:ext uri="{FF2B5EF4-FFF2-40B4-BE49-F238E27FC236}">
              <a16:creationId xmlns:a16="http://schemas.microsoft.com/office/drawing/2014/main" id="{22F7D3FF-646F-0B43-6095-A1B78329041D}"/>
            </a:ext>
          </a:extLst>
        </xdr:cNvPr>
        <xdr:cNvPicPr>
          <a:picLocks noChangeAspect="1"/>
        </xdr:cNvPicPr>
      </xdr:nvPicPr>
      <xdr:blipFill>
        <a:blip xmlns:r="http://schemas.openxmlformats.org/officeDocument/2006/relationships" r:embed="rId3"/>
        <a:stretch>
          <a:fillRect/>
        </a:stretch>
      </xdr:blipFill>
      <xdr:spPr>
        <a:xfrm>
          <a:off x="11736706" y="250304"/>
          <a:ext cx="4649736" cy="1035571"/>
        </a:xfrm>
        <a:prstGeom prst="rect">
          <a:avLst/>
        </a:prstGeom>
      </xdr:spPr>
    </xdr:pic>
    <xdr:clientData/>
  </xdr:twoCellAnchor>
  <xdr:twoCellAnchor editAs="oneCell">
    <xdr:from>
      <xdr:col>9</xdr:col>
      <xdr:colOff>302895</xdr:colOff>
      <xdr:row>4</xdr:row>
      <xdr:rowOff>35064</xdr:rowOff>
    </xdr:from>
    <xdr:to>
      <xdr:col>9</xdr:col>
      <xdr:colOff>4897755</xdr:colOff>
      <xdr:row>4</xdr:row>
      <xdr:rowOff>1046213</xdr:rowOff>
    </xdr:to>
    <xdr:pic>
      <xdr:nvPicPr>
        <xdr:cNvPr id="6" name="Picture 5">
          <a:extLst>
            <a:ext uri="{FF2B5EF4-FFF2-40B4-BE49-F238E27FC236}">
              <a16:creationId xmlns:a16="http://schemas.microsoft.com/office/drawing/2014/main" id="{6DA04A04-B707-5FE4-45B8-8226D8FDD95E}"/>
            </a:ext>
          </a:extLst>
        </xdr:cNvPr>
        <xdr:cNvPicPr>
          <a:picLocks noChangeAspect="1"/>
        </xdr:cNvPicPr>
      </xdr:nvPicPr>
      <xdr:blipFill>
        <a:blip xmlns:r="http://schemas.openxmlformats.org/officeDocument/2006/relationships" r:embed="rId4"/>
        <a:stretch>
          <a:fillRect/>
        </a:stretch>
      </xdr:blipFill>
      <xdr:spPr>
        <a:xfrm>
          <a:off x="11799570" y="3406914"/>
          <a:ext cx="4604385" cy="1011149"/>
        </a:xfrm>
        <a:prstGeom prst="rect">
          <a:avLst/>
        </a:prstGeom>
      </xdr:spPr>
    </xdr:pic>
    <xdr:clientData/>
  </xdr:twoCellAnchor>
  <xdr:twoCellAnchor>
    <xdr:from>
      <xdr:col>0</xdr:col>
      <xdr:colOff>970597</xdr:colOff>
      <xdr:row>5</xdr:row>
      <xdr:rowOff>88582</xdr:rowOff>
    </xdr:from>
    <xdr:to>
      <xdr:col>4</xdr:col>
      <xdr:colOff>425767</xdr:colOff>
      <xdr:row>19</xdr:row>
      <xdr:rowOff>37147</xdr:rowOff>
    </xdr:to>
    <xdr:graphicFrame macro="">
      <xdr:nvGraphicFramePr>
        <xdr:cNvPr id="4" name="Chart 3">
          <a:extLst>
            <a:ext uri="{FF2B5EF4-FFF2-40B4-BE49-F238E27FC236}">
              <a16:creationId xmlns:a16="http://schemas.microsoft.com/office/drawing/2014/main" id="{989E9EE1-C64C-7502-4BD8-86D0BB160E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E6332-0A6F-497D-AE63-5A9DE9A86712}">
  <dimension ref="A1:Q130"/>
  <sheetViews>
    <sheetView zoomScaleNormal="100" workbookViewId="0">
      <selection activeCell="E16" sqref="E16"/>
    </sheetView>
  </sheetViews>
  <sheetFormatPr defaultRowHeight="15.6" x14ac:dyDescent="0.3"/>
  <cols>
    <col min="1" max="1" width="26" style="2" customWidth="1"/>
    <col min="2" max="2" width="45" style="2" customWidth="1"/>
    <col min="3" max="3" width="40.88671875" style="2" customWidth="1"/>
    <col min="4" max="4" width="40.88671875" style="9" customWidth="1"/>
    <col min="5" max="5" width="43.109375" style="2" customWidth="1"/>
    <col min="6" max="6" width="28.109375" style="2" customWidth="1"/>
    <col min="7" max="7" width="15" style="2" customWidth="1"/>
    <col min="8" max="8" width="15.44140625" style="2" customWidth="1"/>
    <col min="9" max="16384" width="8.88671875" style="2"/>
  </cols>
  <sheetData>
    <row r="1" spans="1:9" ht="20.399999999999999" x14ac:dyDescent="0.35">
      <c r="A1" s="59" t="s">
        <v>106</v>
      </c>
      <c r="B1" s="59"/>
      <c r="C1" s="59"/>
      <c r="D1" s="59"/>
      <c r="E1" s="59"/>
      <c r="F1" s="59"/>
    </row>
    <row r="2" spans="1:9" x14ac:dyDescent="0.3">
      <c r="A2" s="9"/>
      <c r="B2" s="9"/>
      <c r="C2" s="9"/>
      <c r="E2" s="9"/>
      <c r="F2" s="9"/>
      <c r="G2" s="9"/>
      <c r="H2" s="9"/>
      <c r="I2" s="9"/>
    </row>
    <row r="3" spans="1:9" x14ac:dyDescent="0.3">
      <c r="A3" s="30" t="s">
        <v>59</v>
      </c>
      <c r="B3" s="17" t="s">
        <v>107</v>
      </c>
      <c r="C3" s="30" t="s">
        <v>48</v>
      </c>
      <c r="D3" s="60" t="s">
        <v>131</v>
      </c>
      <c r="E3" s="60"/>
      <c r="F3" s="60"/>
      <c r="G3" s="9"/>
      <c r="H3" s="9"/>
      <c r="I3" s="9"/>
    </row>
    <row r="4" spans="1:9" x14ac:dyDescent="0.3">
      <c r="A4" s="30" t="s">
        <v>49</v>
      </c>
      <c r="B4" s="17" t="s">
        <v>50</v>
      </c>
      <c r="C4" s="30" t="s">
        <v>51</v>
      </c>
      <c r="D4" s="29" t="s">
        <v>52</v>
      </c>
      <c r="E4" s="30" t="s">
        <v>53</v>
      </c>
      <c r="F4" s="29" t="s">
        <v>54</v>
      </c>
      <c r="G4" s="9"/>
      <c r="H4" s="9"/>
      <c r="I4" s="9"/>
    </row>
    <row r="5" spans="1:9" x14ac:dyDescent="0.3">
      <c r="A5" s="25"/>
      <c r="B5" s="4"/>
      <c r="C5" s="4"/>
      <c r="D5" s="4"/>
      <c r="E5" s="4"/>
      <c r="F5" s="4"/>
      <c r="G5" s="9"/>
      <c r="H5" s="9"/>
      <c r="I5" s="9"/>
    </row>
    <row r="6" spans="1:9" x14ac:dyDescent="0.3">
      <c r="A6" s="30" t="s">
        <v>55</v>
      </c>
      <c r="B6" s="17" t="s">
        <v>50</v>
      </c>
      <c r="C6" s="30" t="s">
        <v>56</v>
      </c>
      <c r="D6" s="26">
        <v>46045</v>
      </c>
      <c r="E6" s="30" t="s">
        <v>57</v>
      </c>
      <c r="F6" s="17" t="s">
        <v>68</v>
      </c>
    </row>
    <row r="7" spans="1:9" x14ac:dyDescent="0.3">
      <c r="A7" s="4"/>
      <c r="B7" s="4"/>
      <c r="C7" s="4"/>
      <c r="D7" s="14"/>
      <c r="E7" s="4"/>
      <c r="F7" s="4"/>
      <c r="G7" s="9"/>
      <c r="H7" s="9"/>
      <c r="I7" s="9"/>
    </row>
    <row r="8" spans="1:9" x14ac:dyDescent="0.3">
      <c r="A8" s="42" t="s">
        <v>60</v>
      </c>
      <c r="B8" s="42" t="s">
        <v>61</v>
      </c>
      <c r="C8" s="4"/>
      <c r="D8" s="43" t="s">
        <v>60</v>
      </c>
      <c r="E8" s="44" t="s">
        <v>62</v>
      </c>
      <c r="F8" s="9"/>
      <c r="G8" s="9"/>
      <c r="H8" s="9"/>
      <c r="I8" s="9"/>
    </row>
    <row r="9" spans="1:9" x14ac:dyDescent="0.3">
      <c r="A9" s="8">
        <v>1</v>
      </c>
      <c r="B9" s="1" t="s">
        <v>108</v>
      </c>
      <c r="C9" s="4"/>
      <c r="D9" s="8">
        <v>1</v>
      </c>
      <c r="E9" s="8" t="s">
        <v>101</v>
      </c>
      <c r="F9" s="9"/>
      <c r="G9" s="9"/>
      <c r="H9" s="9"/>
      <c r="I9" s="9"/>
    </row>
    <row r="10" spans="1:9" x14ac:dyDescent="0.3">
      <c r="A10" s="8">
        <v>2</v>
      </c>
      <c r="B10" s="1" t="s">
        <v>109</v>
      </c>
      <c r="C10" s="4"/>
      <c r="D10" s="8">
        <v>2</v>
      </c>
      <c r="E10" s="8" t="s">
        <v>102</v>
      </c>
      <c r="F10" s="9"/>
      <c r="G10" s="9"/>
      <c r="H10" s="9"/>
      <c r="I10" s="9"/>
    </row>
    <row r="11" spans="1:9" x14ac:dyDescent="0.3">
      <c r="A11" s="8">
        <v>3</v>
      </c>
      <c r="B11" s="1" t="s">
        <v>130</v>
      </c>
      <c r="C11" s="4"/>
      <c r="D11" s="8">
        <v>3</v>
      </c>
      <c r="E11" s="8" t="s">
        <v>110</v>
      </c>
      <c r="F11" s="9"/>
      <c r="G11" s="9"/>
      <c r="H11" s="9"/>
      <c r="I11" s="9"/>
    </row>
    <row r="12" spans="1:9" x14ac:dyDescent="0.3">
      <c r="A12" s="4"/>
      <c r="B12" s="4"/>
      <c r="C12" s="4"/>
      <c r="D12" s="4"/>
      <c r="E12" s="9"/>
      <c r="F12" s="5"/>
      <c r="G12" s="9"/>
      <c r="H12" s="9"/>
      <c r="I12" s="9"/>
    </row>
    <row r="13" spans="1:9" x14ac:dyDescent="0.3">
      <c r="A13" s="4"/>
      <c r="B13" s="4" t="s">
        <v>63</v>
      </c>
      <c r="C13" s="4"/>
      <c r="D13" s="4"/>
      <c r="E13" s="9"/>
      <c r="F13" s="5"/>
      <c r="G13" s="9"/>
      <c r="H13" s="9"/>
      <c r="I13" s="9"/>
    </row>
    <row r="14" spans="1:9" x14ac:dyDescent="0.3">
      <c r="A14" s="4"/>
      <c r="B14" s="37" t="s">
        <v>159</v>
      </c>
      <c r="C14" s="4"/>
      <c r="D14" s="4"/>
      <c r="E14" s="9"/>
      <c r="F14" s="5"/>
      <c r="G14" s="9"/>
      <c r="H14" s="9"/>
      <c r="I14" s="9"/>
    </row>
    <row r="15" spans="1:9" x14ac:dyDescent="0.3">
      <c r="A15" s="4"/>
      <c r="B15" s="37" t="s">
        <v>111</v>
      </c>
      <c r="C15" s="4"/>
      <c r="D15" s="4"/>
      <c r="E15" s="9"/>
      <c r="F15" s="5"/>
      <c r="G15" s="9"/>
      <c r="H15" s="9"/>
      <c r="I15" s="9"/>
    </row>
    <row r="16" spans="1:9" x14ac:dyDescent="0.3">
      <c r="A16" s="4"/>
      <c r="B16" s="37" t="s">
        <v>161</v>
      </c>
      <c r="C16" s="4"/>
      <c r="D16" s="4"/>
      <c r="E16" s="9"/>
      <c r="F16" s="5"/>
      <c r="G16" s="9"/>
      <c r="H16" s="9"/>
      <c r="I16" s="9"/>
    </row>
    <row r="17" spans="1:9" s="18" customFormat="1" x14ac:dyDescent="0.3">
      <c r="A17" s="37"/>
      <c r="B17" s="18" t="s">
        <v>162</v>
      </c>
      <c r="C17" s="37"/>
      <c r="D17" s="37"/>
      <c r="F17" s="5"/>
    </row>
    <row r="18" spans="1:9" s="18" customFormat="1" x14ac:dyDescent="0.3">
      <c r="A18" s="37"/>
      <c r="B18" s="37" t="s">
        <v>163</v>
      </c>
      <c r="C18" s="37"/>
      <c r="D18" s="37"/>
      <c r="F18" s="5"/>
    </row>
    <row r="19" spans="1:9" s="18" customFormat="1" x14ac:dyDescent="0.3">
      <c r="A19" s="37"/>
      <c r="B19" s="37" t="s">
        <v>164</v>
      </c>
      <c r="C19" s="37"/>
      <c r="D19" s="37"/>
      <c r="F19" s="5"/>
    </row>
    <row r="20" spans="1:9" x14ac:dyDescent="0.3">
      <c r="A20" s="4"/>
      <c r="B20" s="37" t="s">
        <v>112</v>
      </c>
      <c r="C20" s="4"/>
      <c r="D20" s="4"/>
      <c r="E20" s="9"/>
      <c r="F20" s="5"/>
      <c r="G20" s="9"/>
      <c r="H20" s="9"/>
      <c r="I20" s="9"/>
    </row>
    <row r="21" spans="1:9" x14ac:dyDescent="0.3">
      <c r="A21" s="4"/>
      <c r="B21" s="37" t="s">
        <v>160</v>
      </c>
      <c r="C21" s="4"/>
      <c r="D21" s="4"/>
      <c r="E21" s="9"/>
      <c r="F21" s="5"/>
      <c r="G21" s="9"/>
      <c r="H21" s="9"/>
      <c r="I21" s="9"/>
    </row>
    <row r="22" spans="1:9" x14ac:dyDescent="0.3">
      <c r="A22" s="11"/>
      <c r="B22" s="37" t="s">
        <v>113</v>
      </c>
      <c r="C22" s="11"/>
      <c r="D22" s="11"/>
      <c r="E22" s="12"/>
      <c r="F22" s="11"/>
      <c r="G22" s="11"/>
      <c r="H22" s="9"/>
      <c r="I22" s="9"/>
    </row>
    <row r="23" spans="1:9" x14ac:dyDescent="0.3">
      <c r="A23" s="10"/>
      <c r="B23" s="11"/>
      <c r="C23" s="10"/>
      <c r="D23" s="10"/>
      <c r="E23" s="12"/>
      <c r="F23" s="10"/>
      <c r="G23" s="10"/>
      <c r="H23" s="9"/>
      <c r="I23" s="9"/>
    </row>
    <row r="24" spans="1:9" x14ac:dyDescent="0.3">
      <c r="A24" s="27" t="s">
        <v>0</v>
      </c>
    </row>
    <row r="25" spans="1:9" x14ac:dyDescent="0.3">
      <c r="A25" s="41" t="s">
        <v>1</v>
      </c>
      <c r="B25" s="41" t="s">
        <v>2</v>
      </c>
    </row>
    <row r="26" spans="1:9" x14ac:dyDescent="0.3">
      <c r="A26" s="8" t="s">
        <v>3</v>
      </c>
      <c r="B26" s="8" t="s">
        <v>103</v>
      </c>
    </row>
    <row r="27" spans="1:9" x14ac:dyDescent="0.3">
      <c r="A27" s="8" t="s">
        <v>4</v>
      </c>
      <c r="B27" s="8" t="s">
        <v>132</v>
      </c>
    </row>
    <row r="28" spans="1:9" s="18" customFormat="1" x14ac:dyDescent="0.3">
      <c r="A28" s="8" t="s">
        <v>133</v>
      </c>
      <c r="B28" s="8" t="s">
        <v>134</v>
      </c>
    </row>
    <row r="30" spans="1:9" x14ac:dyDescent="0.3">
      <c r="A30" s="27" t="s">
        <v>5</v>
      </c>
    </row>
    <row r="31" spans="1:9" x14ac:dyDescent="0.3">
      <c r="A31" s="41" t="s">
        <v>6</v>
      </c>
      <c r="B31" s="41" t="s">
        <v>7</v>
      </c>
    </row>
    <row r="32" spans="1:9" ht="31.2" x14ac:dyDescent="0.3">
      <c r="A32" s="8" t="s">
        <v>135</v>
      </c>
      <c r="B32" s="8" t="s">
        <v>136</v>
      </c>
    </row>
    <row r="33" spans="1:4" ht="31.2" x14ac:dyDescent="0.3">
      <c r="A33" s="8" t="s">
        <v>137</v>
      </c>
      <c r="B33" s="8" t="s">
        <v>138</v>
      </c>
    </row>
    <row r="34" spans="1:4" ht="31.2" x14ac:dyDescent="0.3">
      <c r="A34" s="8" t="s">
        <v>139</v>
      </c>
      <c r="B34" s="8" t="s">
        <v>140</v>
      </c>
    </row>
    <row r="35" spans="1:4" s="18" customFormat="1" x14ac:dyDescent="0.3">
      <c r="A35" s="8" t="s">
        <v>141</v>
      </c>
      <c r="B35" s="8" t="s">
        <v>142</v>
      </c>
    </row>
    <row r="36" spans="1:4" s="18" customFormat="1" x14ac:dyDescent="0.3">
      <c r="A36" s="8" t="s">
        <v>143</v>
      </c>
      <c r="B36" s="8" t="s">
        <v>144</v>
      </c>
    </row>
    <row r="37" spans="1:4" s="18" customFormat="1" x14ac:dyDescent="0.3">
      <c r="A37" s="8" t="s">
        <v>145</v>
      </c>
      <c r="B37" s="8" t="s">
        <v>146</v>
      </c>
    </row>
    <row r="38" spans="1:4" x14ac:dyDescent="0.3">
      <c r="A38" s="3"/>
      <c r="B38" s="3"/>
    </row>
    <row r="39" spans="1:4" x14ac:dyDescent="0.3">
      <c r="A39" s="27" t="s">
        <v>9</v>
      </c>
    </row>
    <row r="40" spans="1:4" x14ac:dyDescent="0.3">
      <c r="A40" s="41" t="s">
        <v>10</v>
      </c>
      <c r="B40" s="41" t="s">
        <v>7</v>
      </c>
      <c r="C40" s="41" t="s">
        <v>47</v>
      </c>
      <c r="D40" s="6"/>
    </row>
    <row r="41" spans="1:4" ht="31.2" x14ac:dyDescent="0.3">
      <c r="A41" s="8" t="s">
        <v>147</v>
      </c>
      <c r="B41" s="8">
        <v>-50</v>
      </c>
      <c r="C41" s="8" t="s">
        <v>189</v>
      </c>
      <c r="D41" s="6"/>
    </row>
    <row r="42" spans="1:4" x14ac:dyDescent="0.3">
      <c r="A42" s="8" t="s">
        <v>148</v>
      </c>
      <c r="B42" s="8">
        <v>100</v>
      </c>
      <c r="C42" s="8" t="s">
        <v>149</v>
      </c>
      <c r="D42" s="6"/>
    </row>
    <row r="43" spans="1:4" ht="31.2" x14ac:dyDescent="0.3">
      <c r="A43" s="8" t="s">
        <v>150</v>
      </c>
      <c r="B43" s="8">
        <v>300</v>
      </c>
      <c r="C43" s="8" t="s">
        <v>151</v>
      </c>
      <c r="D43" s="6"/>
    </row>
    <row r="44" spans="1:4" s="18" customFormat="1" x14ac:dyDescent="0.3">
      <c r="A44" s="8" t="s">
        <v>152</v>
      </c>
      <c r="B44" s="8">
        <v>500</v>
      </c>
      <c r="C44" s="8" t="s">
        <v>153</v>
      </c>
      <c r="D44" s="6"/>
    </row>
    <row r="45" spans="1:4" s="18" customFormat="1" x14ac:dyDescent="0.3">
      <c r="A45" s="8" t="s">
        <v>154</v>
      </c>
      <c r="B45" s="8">
        <v>1000</v>
      </c>
      <c r="C45" s="8" t="s">
        <v>104</v>
      </c>
      <c r="D45" s="6"/>
    </row>
    <row r="46" spans="1:4" s="18" customFormat="1" x14ac:dyDescent="0.3">
      <c r="A46" s="8" t="s">
        <v>155</v>
      </c>
      <c r="B46" s="8">
        <v>5000</v>
      </c>
      <c r="C46" s="8" t="s">
        <v>156</v>
      </c>
      <c r="D46" s="6"/>
    </row>
    <row r="47" spans="1:4" ht="31.2" x14ac:dyDescent="0.3">
      <c r="A47" s="8" t="s">
        <v>157</v>
      </c>
      <c r="B47" s="8">
        <v>6000</v>
      </c>
      <c r="C47" s="8" t="s">
        <v>158</v>
      </c>
    </row>
    <row r="49" spans="1:7" x14ac:dyDescent="0.3">
      <c r="A49" s="27" t="s">
        <v>11</v>
      </c>
    </row>
    <row r="50" spans="1:7" x14ac:dyDescent="0.3">
      <c r="A50" s="34" t="s">
        <v>12</v>
      </c>
      <c r="B50" s="34" t="s">
        <v>13</v>
      </c>
      <c r="C50" s="34" t="s">
        <v>14</v>
      </c>
      <c r="D50" s="34" t="s">
        <v>66</v>
      </c>
      <c r="E50" s="34" t="s">
        <v>15</v>
      </c>
      <c r="F50" s="34" t="s">
        <v>65</v>
      </c>
      <c r="G50" s="34" t="s">
        <v>64</v>
      </c>
    </row>
    <row r="51" spans="1:7" ht="46.8" x14ac:dyDescent="0.3">
      <c r="A51" s="8" t="s">
        <v>16</v>
      </c>
      <c r="B51" s="8" t="s">
        <v>114</v>
      </c>
      <c r="C51" s="8" t="s">
        <v>165</v>
      </c>
      <c r="D51" s="8" t="s">
        <v>191</v>
      </c>
      <c r="E51" s="8" t="s">
        <v>190</v>
      </c>
      <c r="F51" s="8" t="s">
        <v>190</v>
      </c>
      <c r="G51" s="8" t="s">
        <v>58</v>
      </c>
    </row>
    <row r="52" spans="1:7" ht="31.2" x14ac:dyDescent="0.3">
      <c r="A52" s="8" t="s">
        <v>17</v>
      </c>
      <c r="B52" s="8" t="s">
        <v>166</v>
      </c>
      <c r="C52" s="8" t="s">
        <v>167</v>
      </c>
      <c r="D52" s="8" t="s">
        <v>192</v>
      </c>
      <c r="E52" s="8" t="s">
        <v>105</v>
      </c>
      <c r="F52" s="8" t="s">
        <v>105</v>
      </c>
      <c r="G52" s="8" t="s">
        <v>58</v>
      </c>
    </row>
    <row r="53" spans="1:7" s="18" customFormat="1" ht="31.2" x14ac:dyDescent="0.3">
      <c r="A53" s="8" t="s">
        <v>18</v>
      </c>
      <c r="B53" s="8" t="s">
        <v>168</v>
      </c>
      <c r="C53" s="8" t="s">
        <v>169</v>
      </c>
      <c r="D53" s="8" t="s">
        <v>193</v>
      </c>
      <c r="E53" s="8" t="s">
        <v>170</v>
      </c>
      <c r="F53" s="8" t="s">
        <v>171</v>
      </c>
      <c r="G53" s="8" t="s">
        <v>58</v>
      </c>
    </row>
    <row r="54" spans="1:7" ht="31.2" x14ac:dyDescent="0.3">
      <c r="A54" s="8" t="s">
        <v>19</v>
      </c>
      <c r="B54" s="8" t="s">
        <v>172</v>
      </c>
      <c r="C54" s="8" t="s">
        <v>173</v>
      </c>
      <c r="D54" s="8" t="s">
        <v>194</v>
      </c>
      <c r="E54" s="8" t="s">
        <v>174</v>
      </c>
      <c r="F54" s="8" t="s">
        <v>175</v>
      </c>
      <c r="G54" s="8" t="s">
        <v>58</v>
      </c>
    </row>
    <row r="55" spans="1:7" s="18" customFormat="1" ht="31.2" x14ac:dyDescent="0.3">
      <c r="A55" s="8" t="s">
        <v>20</v>
      </c>
      <c r="B55" s="8" t="s">
        <v>176</v>
      </c>
      <c r="C55" s="8" t="s">
        <v>177</v>
      </c>
      <c r="D55" s="8" t="s">
        <v>195</v>
      </c>
      <c r="E55" s="8" t="s">
        <v>178</v>
      </c>
      <c r="F55" s="8" t="s">
        <v>178</v>
      </c>
      <c r="G55" s="8" t="s">
        <v>58</v>
      </c>
    </row>
    <row r="56" spans="1:7" s="18" customFormat="1" ht="31.2" x14ac:dyDescent="0.3">
      <c r="A56" s="8" t="s">
        <v>21</v>
      </c>
      <c r="B56" s="8" t="s">
        <v>179</v>
      </c>
      <c r="C56" s="8" t="s">
        <v>180</v>
      </c>
      <c r="D56" s="8" t="s">
        <v>196</v>
      </c>
      <c r="E56" s="8" t="s">
        <v>181</v>
      </c>
      <c r="F56" s="8" t="s">
        <v>182</v>
      </c>
      <c r="G56" s="8" t="s">
        <v>58</v>
      </c>
    </row>
    <row r="57" spans="1:7" s="18" customFormat="1" ht="31.2" x14ac:dyDescent="0.3">
      <c r="A57" s="8" t="s">
        <v>22</v>
      </c>
      <c r="B57" s="8" t="s">
        <v>183</v>
      </c>
      <c r="C57" s="8" t="s">
        <v>184</v>
      </c>
      <c r="D57" s="8" t="s">
        <v>197</v>
      </c>
      <c r="E57" s="8" t="s">
        <v>185</v>
      </c>
      <c r="F57" s="8" t="s">
        <v>175</v>
      </c>
      <c r="G57" s="8" t="s">
        <v>68</v>
      </c>
    </row>
    <row r="58" spans="1:7" s="18" customFormat="1" ht="46.8" x14ac:dyDescent="0.3">
      <c r="A58" s="8" t="s">
        <v>100</v>
      </c>
      <c r="B58" s="8" t="s">
        <v>186</v>
      </c>
      <c r="C58" s="8" t="s">
        <v>187</v>
      </c>
      <c r="D58" s="8" t="s">
        <v>198</v>
      </c>
      <c r="E58" s="8" t="s">
        <v>182</v>
      </c>
      <c r="F58" s="8" t="s">
        <v>188</v>
      </c>
      <c r="G58" s="8" t="s">
        <v>68</v>
      </c>
    </row>
    <row r="60" spans="1:7" ht="20.399999999999999" x14ac:dyDescent="0.35">
      <c r="A60" s="59" t="s">
        <v>91</v>
      </c>
      <c r="B60" s="59"/>
      <c r="C60" s="59"/>
      <c r="D60" s="59"/>
      <c r="E60" s="59"/>
      <c r="F60" s="59"/>
    </row>
    <row r="61" spans="1:7" x14ac:dyDescent="0.3">
      <c r="A61" s="2" t="s">
        <v>92</v>
      </c>
    </row>
    <row r="62" spans="1:7" x14ac:dyDescent="0.3">
      <c r="A62" s="5" t="s">
        <v>285</v>
      </c>
    </row>
    <row r="63" spans="1:7" x14ac:dyDescent="0.3">
      <c r="A63" s="5" t="s">
        <v>286</v>
      </c>
    </row>
    <row r="65" spans="1:9" x14ac:dyDescent="0.3">
      <c r="A65" s="2" t="s">
        <v>93</v>
      </c>
    </row>
    <row r="66" spans="1:9" x14ac:dyDescent="0.3">
      <c r="A66" s="5" t="s">
        <v>23</v>
      </c>
    </row>
    <row r="67" spans="1:9" x14ac:dyDescent="0.3">
      <c r="A67" s="5" t="s">
        <v>287</v>
      </c>
    </row>
    <row r="69" spans="1:9" x14ac:dyDescent="0.3">
      <c r="A69" s="2" t="s">
        <v>94</v>
      </c>
      <c r="B69" s="9"/>
    </row>
    <row r="70" spans="1:9" s="18" customFormat="1" x14ac:dyDescent="0.3">
      <c r="A70" s="5" t="s">
        <v>41</v>
      </c>
    </row>
    <row r="71" spans="1:9" s="18" customFormat="1" x14ac:dyDescent="0.3">
      <c r="A71" s="5" t="s">
        <v>288</v>
      </c>
    </row>
    <row r="72" spans="1:9" s="18" customFormat="1" x14ac:dyDescent="0.3">
      <c r="A72" s="5" t="s">
        <v>289</v>
      </c>
    </row>
    <row r="73" spans="1:9" s="18" customFormat="1" x14ac:dyDescent="0.3"/>
    <row r="74" spans="1:9" x14ac:dyDescent="0.3">
      <c r="A74" s="5" t="s">
        <v>323</v>
      </c>
      <c r="B74" s="9"/>
    </row>
    <row r="75" spans="1:9" x14ac:dyDescent="0.3">
      <c r="A75" s="5" t="s">
        <v>38</v>
      </c>
      <c r="B75" s="9"/>
    </row>
    <row r="76" spans="1:9" x14ac:dyDescent="0.3">
      <c r="A76" s="5" t="s">
        <v>39</v>
      </c>
      <c r="B76" s="9"/>
    </row>
    <row r="77" spans="1:9" x14ac:dyDescent="0.3">
      <c r="A77" s="5"/>
      <c r="B77" s="18"/>
      <c r="C77" s="18"/>
      <c r="D77" s="18"/>
      <c r="E77" s="18"/>
      <c r="F77" s="18"/>
      <c r="G77" s="18"/>
      <c r="H77" s="18"/>
      <c r="I77" s="18"/>
    </row>
    <row r="78" spans="1:9" x14ac:dyDescent="0.3">
      <c r="A78" s="5" t="s">
        <v>44</v>
      </c>
      <c r="B78" s="9"/>
    </row>
    <row r="79" spans="1:9" x14ac:dyDescent="0.3">
      <c r="A79" s="5" t="s">
        <v>42</v>
      </c>
      <c r="B79" s="9"/>
    </row>
    <row r="80" spans="1:9" x14ac:dyDescent="0.3">
      <c r="A80" s="5" t="s">
        <v>43</v>
      </c>
      <c r="B80" s="9"/>
    </row>
    <row r="81" spans="1:17" x14ac:dyDescent="0.3">
      <c r="A81" s="5"/>
      <c r="B81" s="18"/>
      <c r="C81" s="18"/>
      <c r="D81" s="18"/>
      <c r="E81" s="18"/>
      <c r="F81" s="18"/>
      <c r="G81" s="18"/>
      <c r="H81" s="18"/>
      <c r="I81" s="18"/>
    </row>
    <row r="82" spans="1:17" x14ac:dyDescent="0.3">
      <c r="A82" s="5" t="s">
        <v>324</v>
      </c>
      <c r="B82" s="9"/>
    </row>
    <row r="83" spans="1:17" x14ac:dyDescent="0.3">
      <c r="A83" s="5" t="s">
        <v>45</v>
      </c>
      <c r="B83" s="9"/>
    </row>
    <row r="84" spans="1:17" x14ac:dyDescent="0.3">
      <c r="A84" s="5" t="s">
        <v>46</v>
      </c>
      <c r="B84" s="9"/>
    </row>
    <row r="87" spans="1:17" x14ac:dyDescent="0.3">
      <c r="A87" s="2" t="s">
        <v>95</v>
      </c>
    </row>
    <row r="89" spans="1:17" x14ac:dyDescent="0.3">
      <c r="A89" s="47" t="s">
        <v>24</v>
      </c>
      <c r="B89" s="39" t="s">
        <v>25</v>
      </c>
      <c r="C89" s="39" t="s">
        <v>26</v>
      </c>
      <c r="D89" s="39" t="s">
        <v>27</v>
      </c>
      <c r="E89" s="39" t="s">
        <v>28</v>
      </c>
      <c r="F89" s="39" t="s">
        <v>29</v>
      </c>
      <c r="G89" s="39" t="s">
        <v>30</v>
      </c>
      <c r="H89" s="39" t="s">
        <v>31</v>
      </c>
      <c r="I89" s="39" t="s">
        <v>32</v>
      </c>
      <c r="J89" s="39" t="s">
        <v>294</v>
      </c>
      <c r="K89" s="39" t="s">
        <v>295</v>
      </c>
      <c r="L89" s="39" t="s">
        <v>296</v>
      </c>
      <c r="M89" s="39" t="s">
        <v>297</v>
      </c>
      <c r="N89" s="39" t="s">
        <v>298</v>
      </c>
      <c r="O89" s="39" t="s">
        <v>299</v>
      </c>
      <c r="P89" s="39" t="s">
        <v>300</v>
      </c>
      <c r="Q89" s="39" t="s">
        <v>301</v>
      </c>
    </row>
    <row r="90" spans="1:17" x14ac:dyDescent="0.3">
      <c r="A90" s="38" t="s">
        <v>115</v>
      </c>
      <c r="B90" s="39" t="s">
        <v>33</v>
      </c>
      <c r="C90" s="39" t="s">
        <v>33</v>
      </c>
      <c r="D90" s="39" t="s">
        <v>33</v>
      </c>
      <c r="E90" s="39" t="s">
        <v>33</v>
      </c>
      <c r="F90" s="39" t="s">
        <v>33</v>
      </c>
      <c r="G90" s="39" t="s">
        <v>33</v>
      </c>
      <c r="H90" s="39" t="s">
        <v>33</v>
      </c>
      <c r="I90" s="39" t="s">
        <v>33</v>
      </c>
      <c r="J90" s="39" t="s">
        <v>34</v>
      </c>
      <c r="K90" s="39" t="s">
        <v>34</v>
      </c>
      <c r="L90" s="39" t="s">
        <v>34</v>
      </c>
      <c r="M90" s="39" t="s">
        <v>34</v>
      </c>
      <c r="N90" s="39" t="s">
        <v>34</v>
      </c>
      <c r="O90" s="39" t="s">
        <v>34</v>
      </c>
      <c r="P90" s="39" t="s">
        <v>34</v>
      </c>
      <c r="Q90" s="39" t="s">
        <v>34</v>
      </c>
    </row>
    <row r="91" spans="1:17" x14ac:dyDescent="0.3">
      <c r="A91" s="38" t="s">
        <v>116</v>
      </c>
      <c r="B91" s="39" t="s">
        <v>33</v>
      </c>
      <c r="C91" s="39" t="s">
        <v>33</v>
      </c>
      <c r="D91" s="39" t="s">
        <v>33</v>
      </c>
      <c r="E91" s="39" t="s">
        <v>33</v>
      </c>
      <c r="F91" s="39" t="s">
        <v>34</v>
      </c>
      <c r="G91" s="39" t="s">
        <v>34</v>
      </c>
      <c r="H91" s="39" t="s">
        <v>34</v>
      </c>
      <c r="I91" s="39" t="s">
        <v>34</v>
      </c>
      <c r="J91" s="39" t="s">
        <v>33</v>
      </c>
      <c r="K91" s="39" t="s">
        <v>33</v>
      </c>
      <c r="L91" s="39" t="s">
        <v>33</v>
      </c>
      <c r="M91" s="39" t="s">
        <v>33</v>
      </c>
      <c r="N91" s="39" t="s">
        <v>34</v>
      </c>
      <c r="O91" s="39" t="s">
        <v>34</v>
      </c>
      <c r="P91" s="39" t="s">
        <v>34</v>
      </c>
      <c r="Q91" s="39" t="s">
        <v>34</v>
      </c>
    </row>
    <row r="92" spans="1:17" x14ac:dyDescent="0.3">
      <c r="A92" s="38" t="s">
        <v>290</v>
      </c>
      <c r="B92" s="39" t="s">
        <v>33</v>
      </c>
      <c r="C92" s="39" t="s">
        <v>33</v>
      </c>
      <c r="D92" s="39" t="s">
        <v>34</v>
      </c>
      <c r="E92" s="39" t="s">
        <v>34</v>
      </c>
      <c r="F92" s="39" t="s">
        <v>33</v>
      </c>
      <c r="G92" s="39" t="s">
        <v>33</v>
      </c>
      <c r="H92" s="39" t="s">
        <v>34</v>
      </c>
      <c r="I92" s="39" t="s">
        <v>34</v>
      </c>
      <c r="J92" s="39" t="s">
        <v>33</v>
      </c>
      <c r="K92" s="39" t="s">
        <v>33</v>
      </c>
      <c r="L92" s="39" t="s">
        <v>34</v>
      </c>
      <c r="M92" s="39" t="s">
        <v>34</v>
      </c>
      <c r="N92" s="39" t="s">
        <v>33</v>
      </c>
      <c r="O92" s="39" t="s">
        <v>33</v>
      </c>
      <c r="P92" s="39" t="s">
        <v>34</v>
      </c>
      <c r="Q92" s="39" t="s">
        <v>34</v>
      </c>
    </row>
    <row r="93" spans="1:17" x14ac:dyDescent="0.3">
      <c r="A93" s="38" t="s">
        <v>117</v>
      </c>
      <c r="B93" s="39" t="s">
        <v>33</v>
      </c>
      <c r="C93" s="39" t="s">
        <v>34</v>
      </c>
      <c r="D93" s="39" t="s">
        <v>33</v>
      </c>
      <c r="E93" s="39" t="s">
        <v>34</v>
      </c>
      <c r="F93" s="39" t="s">
        <v>33</v>
      </c>
      <c r="G93" s="39" t="s">
        <v>34</v>
      </c>
      <c r="H93" s="39" t="s">
        <v>33</v>
      </c>
      <c r="I93" s="39" t="s">
        <v>34</v>
      </c>
      <c r="J93" s="39" t="s">
        <v>33</v>
      </c>
      <c r="K93" s="39" t="s">
        <v>34</v>
      </c>
      <c r="L93" s="39" t="s">
        <v>33</v>
      </c>
      <c r="M93" s="39" t="s">
        <v>34</v>
      </c>
      <c r="N93" s="39" t="s">
        <v>33</v>
      </c>
      <c r="O93" s="39" t="s">
        <v>34</v>
      </c>
      <c r="P93" s="39" t="s">
        <v>33</v>
      </c>
      <c r="Q93" s="39" t="s">
        <v>34</v>
      </c>
    </row>
    <row r="94" spans="1:17" s="18" customFormat="1" x14ac:dyDescent="0.3">
      <c r="A94" s="47" t="s">
        <v>35</v>
      </c>
      <c r="B94" s="56"/>
      <c r="C94" s="57"/>
      <c r="D94" s="57"/>
      <c r="E94" s="57"/>
      <c r="F94" s="57"/>
      <c r="G94" s="57"/>
      <c r="H94" s="57"/>
      <c r="I94" s="57"/>
      <c r="J94" s="57"/>
      <c r="K94" s="57"/>
      <c r="L94" s="57"/>
      <c r="M94" s="57"/>
      <c r="N94" s="57"/>
      <c r="O94" s="57"/>
      <c r="P94" s="57"/>
      <c r="Q94" s="58"/>
    </row>
    <row r="95" spans="1:17" s="18" customFormat="1" x14ac:dyDescent="0.3">
      <c r="A95" s="46" t="s">
        <v>118</v>
      </c>
      <c r="B95" s="39"/>
      <c r="C95" s="39"/>
      <c r="D95" s="39"/>
      <c r="E95" s="39"/>
      <c r="F95" s="39"/>
      <c r="G95" s="39"/>
      <c r="H95" s="39"/>
      <c r="I95" s="39"/>
      <c r="J95" s="39" t="s">
        <v>36</v>
      </c>
      <c r="K95" s="39" t="s">
        <v>36</v>
      </c>
      <c r="L95" s="39" t="s">
        <v>36</v>
      </c>
      <c r="M95" s="39" t="s">
        <v>36</v>
      </c>
      <c r="N95" s="39" t="s">
        <v>36</v>
      </c>
      <c r="O95" s="39" t="s">
        <v>36</v>
      </c>
      <c r="P95" s="39" t="s">
        <v>36</v>
      </c>
      <c r="Q95" s="39" t="s">
        <v>36</v>
      </c>
    </row>
    <row r="96" spans="1:17" x14ac:dyDescent="0.3">
      <c r="A96" s="46" t="s">
        <v>119</v>
      </c>
      <c r="B96" s="39"/>
      <c r="C96" s="39"/>
      <c r="D96" s="39"/>
      <c r="E96" s="39"/>
      <c r="F96" s="39"/>
      <c r="G96" s="39"/>
      <c r="H96" s="39"/>
      <c r="I96" s="39" t="s">
        <v>36</v>
      </c>
      <c r="J96" s="39"/>
      <c r="K96" s="39"/>
      <c r="L96" s="39"/>
      <c r="M96" s="39"/>
      <c r="N96" s="39"/>
      <c r="O96" s="39"/>
      <c r="P96" s="39"/>
      <c r="Q96" s="39"/>
    </row>
    <row r="97" spans="1:17" x14ac:dyDescent="0.3">
      <c r="A97" s="46" t="s">
        <v>120</v>
      </c>
      <c r="B97" s="39"/>
      <c r="C97" s="39"/>
      <c r="D97" s="39"/>
      <c r="E97" s="39"/>
      <c r="F97" s="39"/>
      <c r="G97" s="39"/>
      <c r="H97" s="39" t="s">
        <v>36</v>
      </c>
      <c r="I97" s="39"/>
      <c r="J97" s="39"/>
      <c r="K97" s="39"/>
      <c r="L97" s="39"/>
      <c r="M97" s="39"/>
      <c r="N97" s="39"/>
      <c r="O97" s="39"/>
      <c r="P97" s="39"/>
      <c r="Q97" s="39"/>
    </row>
    <row r="98" spans="1:17" x14ac:dyDescent="0.3">
      <c r="A98" s="46" t="s">
        <v>121</v>
      </c>
      <c r="B98" s="39"/>
      <c r="C98" s="39"/>
      <c r="D98" s="39"/>
      <c r="E98" s="39" t="s">
        <v>36</v>
      </c>
      <c r="F98" s="39"/>
      <c r="G98" s="39"/>
      <c r="H98" s="39"/>
      <c r="I98" s="39"/>
      <c r="J98" s="39"/>
      <c r="K98" s="39"/>
      <c r="L98" s="39"/>
      <c r="M98" s="39"/>
      <c r="N98" s="39"/>
      <c r="O98" s="39"/>
      <c r="P98" s="39"/>
      <c r="Q98" s="39"/>
    </row>
    <row r="99" spans="1:17" s="18" customFormat="1" x14ac:dyDescent="0.3">
      <c r="A99" s="46" t="s">
        <v>122</v>
      </c>
      <c r="B99" s="39"/>
      <c r="C99" s="39"/>
      <c r="D99" s="39" t="s">
        <v>36</v>
      </c>
      <c r="E99" s="39"/>
      <c r="F99" s="39"/>
      <c r="G99" s="39"/>
      <c r="H99" s="39"/>
      <c r="I99" s="39"/>
      <c r="J99" s="39"/>
      <c r="K99" s="39"/>
      <c r="L99" s="39"/>
      <c r="M99" s="39"/>
      <c r="N99" s="39"/>
      <c r="O99" s="39"/>
      <c r="P99" s="39"/>
      <c r="Q99" s="39"/>
    </row>
    <row r="100" spans="1:17" s="18" customFormat="1" x14ac:dyDescent="0.3">
      <c r="A100" s="38" t="s">
        <v>291</v>
      </c>
      <c r="B100" s="39"/>
      <c r="C100" s="39" t="s">
        <v>36</v>
      </c>
      <c r="D100" s="39"/>
      <c r="E100" s="39"/>
      <c r="F100" s="39"/>
      <c r="G100" s="39"/>
      <c r="H100" s="39"/>
      <c r="I100" s="39"/>
      <c r="J100" s="39"/>
      <c r="K100" s="39"/>
      <c r="L100" s="39"/>
      <c r="M100" s="39"/>
      <c r="N100" s="39"/>
      <c r="O100" s="39"/>
      <c r="P100" s="39"/>
      <c r="Q100" s="39"/>
    </row>
    <row r="101" spans="1:17" s="18" customFormat="1" x14ac:dyDescent="0.3">
      <c r="A101" s="38" t="s">
        <v>292</v>
      </c>
      <c r="B101" s="39" t="s">
        <v>36</v>
      </c>
      <c r="C101" s="39"/>
      <c r="D101" s="39"/>
      <c r="E101" s="39"/>
      <c r="F101" s="39"/>
      <c r="G101" s="39"/>
      <c r="H101" s="39"/>
      <c r="I101" s="39"/>
      <c r="J101" s="39"/>
      <c r="K101" s="39"/>
      <c r="L101" s="39"/>
      <c r="M101" s="39"/>
      <c r="N101" s="39"/>
      <c r="O101" s="39"/>
      <c r="P101" s="39"/>
      <c r="Q101" s="39"/>
    </row>
    <row r="102" spans="1:17" s="18" customFormat="1" x14ac:dyDescent="0.3">
      <c r="A102" s="38" t="s">
        <v>293</v>
      </c>
      <c r="B102" s="39"/>
      <c r="C102" s="39"/>
      <c r="D102" s="39"/>
      <c r="E102" s="39"/>
      <c r="F102" s="39" t="s">
        <v>36</v>
      </c>
      <c r="G102" s="39" t="s">
        <v>36</v>
      </c>
      <c r="H102" s="39"/>
      <c r="I102" s="39"/>
      <c r="J102" s="39"/>
      <c r="K102" s="39"/>
      <c r="L102" s="39"/>
      <c r="M102" s="39"/>
      <c r="N102" s="39"/>
      <c r="O102" s="39"/>
      <c r="P102" s="39"/>
      <c r="Q102" s="39"/>
    </row>
    <row r="104" spans="1:17" x14ac:dyDescent="0.3">
      <c r="A104" s="2" t="s">
        <v>96</v>
      </c>
    </row>
    <row r="105" spans="1:17" x14ac:dyDescent="0.3">
      <c r="A105" s="5" t="s">
        <v>311</v>
      </c>
    </row>
    <row r="106" spans="1:17" s="18" customFormat="1" x14ac:dyDescent="0.3">
      <c r="A106" s="5" t="s">
        <v>312</v>
      </c>
    </row>
    <row r="108" spans="1:17" ht="18" customHeight="1" x14ac:dyDescent="0.3">
      <c r="A108" s="47" t="s">
        <v>24</v>
      </c>
      <c r="B108" s="39" t="s">
        <v>25</v>
      </c>
      <c r="C108" s="39" t="s">
        <v>26</v>
      </c>
      <c r="D108" s="39" t="s">
        <v>27</v>
      </c>
      <c r="E108" s="39" t="s">
        <v>28</v>
      </c>
      <c r="F108" s="39" t="s">
        <v>31</v>
      </c>
      <c r="G108" s="39" t="s">
        <v>32</v>
      </c>
      <c r="H108" s="39" t="s">
        <v>310</v>
      </c>
    </row>
    <row r="109" spans="1:17" x14ac:dyDescent="0.3">
      <c r="A109" s="38" t="s">
        <v>115</v>
      </c>
      <c r="B109" s="39" t="s">
        <v>33</v>
      </c>
      <c r="C109" s="39" t="s">
        <v>33</v>
      </c>
      <c r="D109" s="39" t="s">
        <v>33</v>
      </c>
      <c r="E109" s="39" t="s">
        <v>33</v>
      </c>
      <c r="F109" s="39" t="s">
        <v>33</v>
      </c>
      <c r="G109" s="39" t="s">
        <v>33</v>
      </c>
      <c r="H109" s="39" t="s">
        <v>34</v>
      </c>
    </row>
    <row r="110" spans="1:17" ht="15.6" customHeight="1" x14ac:dyDescent="0.3">
      <c r="A110" s="38" t="s">
        <v>116</v>
      </c>
      <c r="B110" s="39" t="s">
        <v>33</v>
      </c>
      <c r="C110" s="39" t="s">
        <v>33</v>
      </c>
      <c r="D110" s="39" t="s">
        <v>33</v>
      </c>
      <c r="E110" s="39" t="s">
        <v>33</v>
      </c>
      <c r="F110" s="39" t="s">
        <v>34</v>
      </c>
      <c r="G110" s="39" t="s">
        <v>34</v>
      </c>
      <c r="H110" s="39"/>
    </row>
    <row r="111" spans="1:17" x14ac:dyDescent="0.3">
      <c r="A111" s="38" t="s">
        <v>290</v>
      </c>
      <c r="B111" s="39" t="s">
        <v>33</v>
      </c>
      <c r="C111" s="39" t="s">
        <v>33</v>
      </c>
      <c r="D111" s="39" t="s">
        <v>34</v>
      </c>
      <c r="E111" s="39" t="s">
        <v>34</v>
      </c>
      <c r="F111" s="39" t="s">
        <v>34</v>
      </c>
      <c r="G111" s="39" t="s">
        <v>34</v>
      </c>
      <c r="H111" s="39"/>
    </row>
    <row r="112" spans="1:17" x14ac:dyDescent="0.3">
      <c r="A112" s="38" t="s">
        <v>117</v>
      </c>
      <c r="B112" s="39" t="s">
        <v>33</v>
      </c>
      <c r="C112" s="39" t="s">
        <v>34</v>
      </c>
      <c r="D112" s="39" t="s">
        <v>33</v>
      </c>
      <c r="E112" s="39" t="s">
        <v>34</v>
      </c>
      <c r="F112" s="39" t="s">
        <v>33</v>
      </c>
      <c r="G112" s="39" t="s">
        <v>34</v>
      </c>
      <c r="H112" s="39"/>
    </row>
    <row r="113" spans="1:8" s="18" customFormat="1" x14ac:dyDescent="0.3">
      <c r="A113" s="47" t="s">
        <v>35</v>
      </c>
      <c r="B113" s="56"/>
      <c r="C113" s="57"/>
      <c r="D113" s="57"/>
      <c r="E113" s="57"/>
      <c r="F113" s="57"/>
      <c r="G113" s="57"/>
      <c r="H113" s="58"/>
    </row>
    <row r="114" spans="1:8" s="18" customFormat="1" x14ac:dyDescent="0.3">
      <c r="A114" s="38" t="s">
        <v>118</v>
      </c>
      <c r="B114" s="39"/>
      <c r="C114" s="39"/>
      <c r="D114" s="39"/>
      <c r="E114" s="39"/>
      <c r="F114" s="39"/>
      <c r="G114" s="39"/>
      <c r="H114" s="39" t="s">
        <v>36</v>
      </c>
    </row>
    <row r="115" spans="1:8" s="18" customFormat="1" x14ac:dyDescent="0.3">
      <c r="A115" s="38" t="s">
        <v>119</v>
      </c>
      <c r="B115" s="39"/>
      <c r="C115" s="39"/>
      <c r="D115" s="39"/>
      <c r="E115" s="39"/>
      <c r="F115" s="39"/>
      <c r="G115" s="39" t="s">
        <v>36</v>
      </c>
      <c r="H115" s="39"/>
    </row>
    <row r="116" spans="1:8" x14ac:dyDescent="0.3">
      <c r="A116" s="38" t="s">
        <v>120</v>
      </c>
      <c r="B116" s="39"/>
      <c r="C116" s="39"/>
      <c r="D116" s="39"/>
      <c r="E116" s="39"/>
      <c r="F116" s="39" t="s">
        <v>36</v>
      </c>
      <c r="G116" s="39"/>
      <c r="H116" s="39"/>
    </row>
    <row r="117" spans="1:8" x14ac:dyDescent="0.3">
      <c r="A117" s="38" t="s">
        <v>121</v>
      </c>
      <c r="B117" s="39"/>
      <c r="C117" s="39"/>
      <c r="D117" s="39"/>
      <c r="E117" s="39" t="s">
        <v>36</v>
      </c>
      <c r="F117" s="39"/>
      <c r="G117" s="39"/>
      <c r="H117" s="39"/>
    </row>
    <row r="118" spans="1:8" s="18" customFormat="1" x14ac:dyDescent="0.3">
      <c r="A118" s="38" t="s">
        <v>122</v>
      </c>
      <c r="B118" s="39"/>
      <c r="C118" s="39"/>
      <c r="D118" s="39" t="s">
        <v>36</v>
      </c>
      <c r="E118" s="39"/>
      <c r="F118" s="39"/>
      <c r="G118" s="39"/>
      <c r="H118" s="39"/>
    </row>
    <row r="119" spans="1:8" s="18" customFormat="1" x14ac:dyDescent="0.3">
      <c r="A119" s="38" t="s">
        <v>291</v>
      </c>
      <c r="B119" s="39"/>
      <c r="C119" s="39" t="s">
        <v>36</v>
      </c>
      <c r="D119" s="39"/>
      <c r="E119" s="39"/>
      <c r="F119" s="39"/>
      <c r="G119" s="39"/>
      <c r="H119" s="39"/>
    </row>
    <row r="120" spans="1:8" x14ac:dyDescent="0.3">
      <c r="A120" s="38" t="s">
        <v>292</v>
      </c>
      <c r="B120" s="39" t="s">
        <v>36</v>
      </c>
      <c r="C120" s="39"/>
      <c r="D120" s="39"/>
      <c r="E120" s="39"/>
      <c r="F120" s="39"/>
      <c r="G120" s="39"/>
      <c r="H120" s="39"/>
    </row>
    <row r="122" spans="1:8" x14ac:dyDescent="0.3">
      <c r="A122" s="27" t="s">
        <v>37</v>
      </c>
    </row>
    <row r="123" spans="1:8" x14ac:dyDescent="0.3">
      <c r="A123" s="15" t="s">
        <v>313</v>
      </c>
    </row>
    <row r="124" spans="1:8" x14ac:dyDescent="0.3">
      <c r="A124" s="15" t="s">
        <v>314</v>
      </c>
    </row>
    <row r="125" spans="1:8" x14ac:dyDescent="0.3">
      <c r="A125" s="2" t="s">
        <v>315</v>
      </c>
    </row>
    <row r="126" spans="1:8" x14ac:dyDescent="0.3">
      <c r="A126" s="2" t="s">
        <v>316</v>
      </c>
    </row>
    <row r="127" spans="1:8" x14ac:dyDescent="0.3">
      <c r="A127" s="2" t="s">
        <v>317</v>
      </c>
    </row>
    <row r="128" spans="1:8" x14ac:dyDescent="0.3">
      <c r="A128" s="2" t="s">
        <v>318</v>
      </c>
    </row>
    <row r="129" spans="1:1" x14ac:dyDescent="0.3">
      <c r="A129" s="2" t="s">
        <v>319</v>
      </c>
    </row>
    <row r="130" spans="1:1" x14ac:dyDescent="0.3">
      <c r="A130" s="2" t="s">
        <v>320</v>
      </c>
    </row>
  </sheetData>
  <mergeCells count="5">
    <mergeCell ref="B113:H113"/>
    <mergeCell ref="B94:Q94"/>
    <mergeCell ref="A1:F1"/>
    <mergeCell ref="A60:F60"/>
    <mergeCell ref="D3:F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33"/>
  <sheetViews>
    <sheetView topLeftCell="A46" workbookViewId="0">
      <selection activeCell="E52" sqref="E52"/>
    </sheetView>
  </sheetViews>
  <sheetFormatPr defaultRowHeight="15.6" x14ac:dyDescent="0.3"/>
  <cols>
    <col min="1" max="1" width="31.109375" style="2" customWidth="1"/>
    <col min="2" max="2" width="38.5546875" style="2" customWidth="1"/>
    <col min="3" max="3" width="31.109375" style="2" customWidth="1"/>
    <col min="4" max="4" width="33" style="9" customWidth="1"/>
    <col min="5" max="5" width="38.44140625" style="2" customWidth="1"/>
    <col min="6" max="6" width="21.109375" style="2" customWidth="1"/>
    <col min="7" max="7" width="11.109375" style="2" customWidth="1"/>
    <col min="8" max="9" width="8.88671875" style="2"/>
    <col min="10" max="10" width="17.21875" style="2" customWidth="1"/>
    <col min="11" max="16384" width="8.88671875" style="2"/>
  </cols>
  <sheetData>
    <row r="1" spans="1:9" ht="20.399999999999999" x14ac:dyDescent="0.35">
      <c r="A1" s="59" t="s">
        <v>106</v>
      </c>
      <c r="B1" s="59"/>
      <c r="C1" s="59"/>
      <c r="D1" s="59"/>
      <c r="E1" s="59"/>
      <c r="F1" s="59"/>
      <c r="G1" s="18"/>
    </row>
    <row r="2" spans="1:9" x14ac:dyDescent="0.3">
      <c r="A2" s="18"/>
      <c r="B2" s="18"/>
      <c r="C2" s="18"/>
      <c r="D2" s="18"/>
      <c r="E2" s="18"/>
      <c r="F2" s="18"/>
      <c r="G2" s="18"/>
      <c r="H2" s="9"/>
      <c r="I2" s="9"/>
    </row>
    <row r="3" spans="1:9" x14ac:dyDescent="0.3">
      <c r="A3" s="30" t="s">
        <v>59</v>
      </c>
      <c r="B3" s="17" t="s">
        <v>123</v>
      </c>
      <c r="C3" s="30" t="s">
        <v>48</v>
      </c>
      <c r="D3" s="60" t="s">
        <v>203</v>
      </c>
      <c r="E3" s="60"/>
      <c r="F3" s="60"/>
      <c r="G3" s="18"/>
      <c r="H3" s="9"/>
      <c r="I3" s="9"/>
    </row>
    <row r="4" spans="1:9" x14ac:dyDescent="0.3">
      <c r="A4" s="30" t="s">
        <v>49</v>
      </c>
      <c r="B4" s="17" t="s">
        <v>50</v>
      </c>
      <c r="C4" s="30" t="s">
        <v>51</v>
      </c>
      <c r="D4" s="29" t="s">
        <v>52</v>
      </c>
      <c r="E4" s="30" t="s">
        <v>53</v>
      </c>
      <c r="F4" s="29" t="s">
        <v>54</v>
      </c>
      <c r="G4" s="18"/>
      <c r="H4" s="9"/>
      <c r="I4" s="9"/>
    </row>
    <row r="5" spans="1:9" s="18" customFormat="1" x14ac:dyDescent="0.3">
      <c r="A5" s="4"/>
      <c r="B5" s="4"/>
      <c r="C5" s="4"/>
      <c r="D5" s="4"/>
      <c r="E5" s="4"/>
      <c r="F5" s="4"/>
    </row>
    <row r="6" spans="1:9" x14ac:dyDescent="0.3">
      <c r="A6" s="30" t="s">
        <v>55</v>
      </c>
      <c r="B6" s="17" t="s">
        <v>50</v>
      </c>
      <c r="C6" s="30" t="s">
        <v>56</v>
      </c>
      <c r="D6" s="26">
        <v>46045</v>
      </c>
      <c r="E6" s="30" t="s">
        <v>57</v>
      </c>
      <c r="F6" s="17" t="s">
        <v>68</v>
      </c>
      <c r="G6" s="18"/>
      <c r="H6" s="9"/>
      <c r="I6" s="9"/>
    </row>
    <row r="7" spans="1:9" x14ac:dyDescent="0.3">
      <c r="A7" s="4"/>
      <c r="B7" s="4"/>
      <c r="C7" s="4"/>
      <c r="D7" s="14"/>
      <c r="E7" s="4"/>
      <c r="F7" s="4"/>
      <c r="G7" s="18"/>
      <c r="H7" s="9"/>
      <c r="I7" s="9"/>
    </row>
    <row r="8" spans="1:9" x14ac:dyDescent="0.3">
      <c r="A8" s="43" t="s">
        <v>60</v>
      </c>
      <c r="B8" s="43" t="s">
        <v>61</v>
      </c>
      <c r="C8" s="4"/>
      <c r="D8" s="43" t="s">
        <v>60</v>
      </c>
      <c r="E8" s="44" t="s">
        <v>62</v>
      </c>
      <c r="F8" s="4"/>
      <c r="G8" s="18"/>
      <c r="H8" s="9"/>
      <c r="I8" s="9"/>
    </row>
    <row r="9" spans="1:9" ht="31.2" x14ac:dyDescent="0.3">
      <c r="A9" s="8">
        <v>1</v>
      </c>
      <c r="B9" s="8" t="s">
        <v>108</v>
      </c>
      <c r="C9" s="4"/>
      <c r="D9" s="8">
        <v>1</v>
      </c>
      <c r="E9" s="8" t="s">
        <v>200</v>
      </c>
      <c r="F9" s="4"/>
      <c r="G9" s="18"/>
      <c r="H9" s="9"/>
      <c r="I9" s="9"/>
    </row>
    <row r="10" spans="1:9" ht="31.2" x14ac:dyDescent="0.3">
      <c r="A10" s="8">
        <v>2</v>
      </c>
      <c r="B10" s="8" t="s">
        <v>109</v>
      </c>
      <c r="C10" s="4"/>
      <c r="D10" s="8">
        <v>2</v>
      </c>
      <c r="E10" s="8" t="s">
        <v>201</v>
      </c>
      <c r="F10" s="4"/>
      <c r="G10" s="18"/>
      <c r="H10" s="9"/>
      <c r="I10" s="9"/>
    </row>
    <row r="11" spans="1:9" ht="31.2" x14ac:dyDescent="0.3">
      <c r="A11" s="8">
        <v>3</v>
      </c>
      <c r="B11" s="8" t="s">
        <v>199</v>
      </c>
      <c r="C11" s="4"/>
      <c r="D11" s="8">
        <v>3</v>
      </c>
      <c r="E11" s="8" t="s">
        <v>202</v>
      </c>
      <c r="F11" s="4"/>
      <c r="G11" s="18"/>
      <c r="H11" s="9"/>
      <c r="I11" s="9"/>
    </row>
    <row r="12" spans="1:9" x14ac:dyDescent="0.3">
      <c r="A12" s="4"/>
      <c r="B12" s="4"/>
      <c r="C12" s="4"/>
      <c r="D12" s="4"/>
      <c r="E12" s="14"/>
      <c r="F12" s="4"/>
      <c r="G12" s="4"/>
      <c r="H12" s="9"/>
      <c r="I12" s="9"/>
    </row>
    <row r="13" spans="1:9" x14ac:dyDescent="0.3">
      <c r="B13" s="18" t="s">
        <v>67</v>
      </c>
      <c r="C13" s="4"/>
      <c r="D13" s="4"/>
      <c r="E13" s="14"/>
      <c r="F13" s="4"/>
      <c r="G13" s="4"/>
      <c r="H13" s="9"/>
      <c r="I13" s="9"/>
    </row>
    <row r="14" spans="1:9" x14ac:dyDescent="0.3">
      <c r="B14" s="5" t="s">
        <v>124</v>
      </c>
      <c r="C14" s="4"/>
      <c r="D14" s="4"/>
      <c r="E14" s="14"/>
      <c r="F14" s="4"/>
      <c r="G14" s="4"/>
      <c r="H14" s="9"/>
      <c r="I14" s="9"/>
    </row>
    <row r="15" spans="1:9" x14ac:dyDescent="0.3">
      <c r="B15" s="5" t="s">
        <v>204</v>
      </c>
      <c r="C15" s="4"/>
      <c r="D15" s="4"/>
      <c r="E15" s="14"/>
      <c r="F15" s="4"/>
      <c r="G15" s="4"/>
      <c r="H15" s="9"/>
      <c r="I15" s="9"/>
    </row>
    <row r="16" spans="1:9" x14ac:dyDescent="0.3">
      <c r="B16" s="5" t="s">
        <v>125</v>
      </c>
      <c r="C16" s="4"/>
      <c r="D16" s="4"/>
      <c r="E16" s="14"/>
      <c r="F16" s="4"/>
      <c r="G16" s="4"/>
      <c r="H16" s="9"/>
      <c r="I16" s="9"/>
    </row>
    <row r="17" spans="1:9" x14ac:dyDescent="0.3">
      <c r="B17" s="5" t="s">
        <v>205</v>
      </c>
      <c r="C17" s="4"/>
      <c r="D17" s="4"/>
      <c r="E17" s="14"/>
      <c r="F17" s="4"/>
      <c r="G17" s="4"/>
      <c r="H17" s="9"/>
      <c r="I17" s="9"/>
    </row>
    <row r="18" spans="1:9" s="18" customFormat="1" x14ac:dyDescent="0.3">
      <c r="B18" s="5" t="s">
        <v>206</v>
      </c>
      <c r="C18" s="37"/>
      <c r="D18" s="37"/>
      <c r="E18" s="14"/>
      <c r="F18" s="37"/>
      <c r="G18" s="37"/>
    </row>
    <row r="19" spans="1:9" s="18" customFormat="1" x14ac:dyDescent="0.3">
      <c r="B19" s="5" t="s">
        <v>207</v>
      </c>
      <c r="C19" s="37"/>
      <c r="D19" s="37"/>
      <c r="E19" s="14"/>
      <c r="F19" s="37"/>
      <c r="G19" s="37"/>
    </row>
    <row r="20" spans="1:9" s="18" customFormat="1" x14ac:dyDescent="0.3">
      <c r="B20" s="5" t="s">
        <v>208</v>
      </c>
      <c r="C20" s="37"/>
      <c r="D20" s="37"/>
      <c r="E20" s="14"/>
      <c r="F20" s="37"/>
      <c r="G20" s="37"/>
    </row>
    <row r="21" spans="1:9" s="18" customFormat="1" x14ac:dyDescent="0.3">
      <c r="B21" s="5" t="s">
        <v>209</v>
      </c>
      <c r="C21" s="37"/>
      <c r="D21" s="37"/>
      <c r="E21" s="14"/>
      <c r="F21" s="37"/>
      <c r="G21" s="37"/>
    </row>
    <row r="22" spans="1:9" s="18" customFormat="1" x14ac:dyDescent="0.3">
      <c r="B22" s="5" t="s">
        <v>210</v>
      </c>
      <c r="C22" s="37"/>
      <c r="D22" s="37"/>
      <c r="E22" s="14"/>
      <c r="F22" s="37"/>
      <c r="G22" s="37"/>
    </row>
    <row r="23" spans="1:9" s="18" customFormat="1" x14ac:dyDescent="0.3">
      <c r="B23" s="5" t="s">
        <v>211</v>
      </c>
      <c r="C23" s="37"/>
      <c r="D23" s="37"/>
      <c r="E23" s="14"/>
      <c r="F23" s="37"/>
      <c r="G23" s="37"/>
    </row>
    <row r="24" spans="1:9" s="18" customFormat="1" x14ac:dyDescent="0.3">
      <c r="B24" s="5" t="s">
        <v>213</v>
      </c>
      <c r="C24" s="37"/>
      <c r="D24" s="37"/>
      <c r="E24" s="14"/>
      <c r="F24" s="37"/>
      <c r="G24" s="37"/>
    </row>
    <row r="25" spans="1:9" s="18" customFormat="1" x14ac:dyDescent="0.3">
      <c r="B25" s="5" t="s">
        <v>212</v>
      </c>
      <c r="C25" s="37"/>
      <c r="D25" s="37"/>
      <c r="E25" s="14"/>
      <c r="F25" s="37"/>
      <c r="G25" s="37"/>
    </row>
    <row r="26" spans="1:9" x14ac:dyDescent="0.3">
      <c r="A26" s="18"/>
      <c r="B26" s="18"/>
      <c r="C26" s="18"/>
      <c r="D26" s="18"/>
      <c r="E26" s="18"/>
      <c r="F26" s="18"/>
      <c r="G26" s="18"/>
      <c r="H26" s="9"/>
      <c r="I26" s="9"/>
    </row>
    <row r="27" spans="1:9" x14ac:dyDescent="0.3">
      <c r="A27" s="27" t="s">
        <v>0</v>
      </c>
      <c r="B27" s="18"/>
      <c r="C27" s="18"/>
      <c r="D27" s="18"/>
      <c r="E27" s="18"/>
      <c r="F27" s="18"/>
      <c r="G27" s="18"/>
    </row>
    <row r="28" spans="1:9" x14ac:dyDescent="0.3">
      <c r="A28" s="42" t="s">
        <v>1</v>
      </c>
      <c r="B28" s="42" t="s">
        <v>2</v>
      </c>
      <c r="C28" s="18"/>
      <c r="D28" s="18"/>
      <c r="E28" s="18"/>
      <c r="F28" s="18"/>
      <c r="G28" s="18"/>
    </row>
    <row r="29" spans="1:9" ht="31.2" x14ac:dyDescent="0.3">
      <c r="A29" s="8" t="s">
        <v>3</v>
      </c>
      <c r="B29" s="8" t="s">
        <v>214</v>
      </c>
      <c r="C29" s="18"/>
      <c r="D29" s="18"/>
      <c r="E29" s="18"/>
      <c r="F29" s="18"/>
      <c r="G29" s="18"/>
    </row>
    <row r="30" spans="1:9" x14ac:dyDescent="0.3">
      <c r="A30" s="8" t="s">
        <v>4</v>
      </c>
      <c r="B30" s="8" t="s">
        <v>215</v>
      </c>
      <c r="C30" s="18"/>
      <c r="D30" s="18"/>
      <c r="E30" s="18"/>
      <c r="F30" s="18"/>
      <c r="G30" s="18"/>
    </row>
    <row r="31" spans="1:9" x14ac:dyDescent="0.3">
      <c r="A31" s="8"/>
      <c r="B31" s="8" t="s">
        <v>216</v>
      </c>
      <c r="C31" s="18"/>
      <c r="D31" s="18"/>
      <c r="E31" s="18"/>
      <c r="F31" s="18"/>
      <c r="G31" s="18"/>
    </row>
    <row r="32" spans="1:9" s="18" customFormat="1" x14ac:dyDescent="0.3">
      <c r="A32" s="8"/>
      <c r="B32" s="8" t="s">
        <v>217</v>
      </c>
    </row>
    <row r="33" spans="1:7" x14ac:dyDescent="0.3">
      <c r="A33" s="4"/>
      <c r="B33" s="4"/>
      <c r="C33" s="18"/>
      <c r="D33" s="18"/>
      <c r="E33" s="18"/>
      <c r="F33" s="18"/>
      <c r="G33" s="18"/>
    </row>
    <row r="35" spans="1:7" x14ac:dyDescent="0.3">
      <c r="A35" s="27" t="s">
        <v>5</v>
      </c>
      <c r="B35" s="18"/>
      <c r="C35" s="18"/>
      <c r="D35" s="18"/>
      <c r="E35" s="18"/>
      <c r="F35" s="18"/>
      <c r="G35" s="18"/>
    </row>
    <row r="36" spans="1:7" x14ac:dyDescent="0.3">
      <c r="A36" s="45" t="s">
        <v>6</v>
      </c>
      <c r="B36" s="45" t="s">
        <v>7</v>
      </c>
      <c r="C36" s="18"/>
      <c r="D36" s="18"/>
      <c r="E36" s="18"/>
      <c r="F36" s="18"/>
      <c r="G36" s="18"/>
    </row>
    <row r="37" spans="1:7" x14ac:dyDescent="0.3">
      <c r="A37" s="8" t="s">
        <v>8</v>
      </c>
      <c r="B37" s="8" t="s">
        <v>218</v>
      </c>
      <c r="C37" s="18"/>
      <c r="D37" s="18"/>
      <c r="E37" s="18"/>
      <c r="F37" s="18"/>
      <c r="G37" s="18"/>
    </row>
    <row r="38" spans="1:7" s="18" customFormat="1" x14ac:dyDescent="0.3">
      <c r="A38" s="8" t="s">
        <v>219</v>
      </c>
      <c r="B38" s="8" t="s">
        <v>220</v>
      </c>
    </row>
    <row r="39" spans="1:7" s="18" customFormat="1" ht="31.2" x14ac:dyDescent="0.3">
      <c r="A39" s="8" t="s">
        <v>221</v>
      </c>
      <c r="B39" s="8" t="s">
        <v>222</v>
      </c>
    </row>
    <row r="40" spans="1:7" ht="31.2" x14ac:dyDescent="0.3">
      <c r="A40" s="8" t="s">
        <v>223</v>
      </c>
      <c r="B40" s="8" t="s">
        <v>224</v>
      </c>
      <c r="C40" s="18"/>
      <c r="D40" s="18"/>
      <c r="E40" s="18"/>
      <c r="F40" s="18"/>
      <c r="G40" s="18"/>
    </row>
    <row r="41" spans="1:7" x14ac:dyDescent="0.3">
      <c r="A41" s="8" t="s">
        <v>225</v>
      </c>
      <c r="B41" s="8" t="s">
        <v>226</v>
      </c>
    </row>
    <row r="43" spans="1:7" x14ac:dyDescent="0.3">
      <c r="A43" s="27" t="s">
        <v>9</v>
      </c>
      <c r="B43" s="18"/>
      <c r="C43" s="18"/>
      <c r="D43" s="18"/>
      <c r="E43" s="18"/>
      <c r="F43" s="18"/>
      <c r="G43" s="18"/>
    </row>
    <row r="44" spans="1:7" x14ac:dyDescent="0.3">
      <c r="A44" s="45" t="s">
        <v>10</v>
      </c>
      <c r="B44" s="45" t="s">
        <v>7</v>
      </c>
      <c r="C44" s="45" t="s">
        <v>69</v>
      </c>
      <c r="D44" s="13"/>
      <c r="E44" s="18"/>
      <c r="F44" s="18"/>
      <c r="G44" s="18"/>
    </row>
    <row r="45" spans="1:7" x14ac:dyDescent="0.3">
      <c r="A45" s="8" t="s">
        <v>227</v>
      </c>
      <c r="B45" s="8" t="s">
        <v>228</v>
      </c>
      <c r="C45" s="8" t="s">
        <v>229</v>
      </c>
      <c r="D45" s="13"/>
      <c r="E45" s="18"/>
      <c r="F45" s="18"/>
      <c r="G45" s="18"/>
    </row>
    <row r="46" spans="1:7" x14ac:dyDescent="0.3">
      <c r="A46" s="8" t="s">
        <v>230</v>
      </c>
      <c r="B46" s="8" t="s">
        <v>231</v>
      </c>
      <c r="C46" s="8" t="s">
        <v>232</v>
      </c>
      <c r="D46" s="13"/>
      <c r="E46" s="18"/>
      <c r="F46" s="18"/>
      <c r="G46" s="18"/>
    </row>
    <row r="47" spans="1:7" ht="31.2" x14ac:dyDescent="0.3">
      <c r="A47" s="8" t="s">
        <v>233</v>
      </c>
      <c r="B47" s="8" t="s">
        <v>234</v>
      </c>
      <c r="C47" s="8" t="s">
        <v>235</v>
      </c>
      <c r="D47" s="13"/>
      <c r="E47" s="18"/>
      <c r="F47" s="18"/>
      <c r="G47" s="18"/>
    </row>
    <row r="48" spans="1:7" s="18" customFormat="1" x14ac:dyDescent="0.3">
      <c r="A48" s="8" t="s">
        <v>236</v>
      </c>
      <c r="B48" s="8" t="s">
        <v>237</v>
      </c>
      <c r="C48" s="8" t="s">
        <v>238</v>
      </c>
      <c r="D48" s="13"/>
    </row>
    <row r="49" spans="1:7" s="18" customFormat="1" x14ac:dyDescent="0.3">
      <c r="A49" s="8" t="s">
        <v>239</v>
      </c>
      <c r="B49" s="8" t="s">
        <v>240</v>
      </c>
      <c r="C49" s="8" t="s">
        <v>241</v>
      </c>
      <c r="D49" s="13"/>
    </row>
    <row r="50" spans="1:7" s="18" customFormat="1" ht="31.2" x14ac:dyDescent="0.3">
      <c r="A50" s="8" t="s">
        <v>242</v>
      </c>
      <c r="B50" s="8" t="s">
        <v>243</v>
      </c>
      <c r="C50" s="8" t="s">
        <v>244</v>
      </c>
      <c r="D50" s="13"/>
    </row>
    <row r="51" spans="1:7" s="18" customFormat="1" x14ac:dyDescent="0.3">
      <c r="A51" s="8" t="s">
        <v>245</v>
      </c>
      <c r="B51" s="8" t="s">
        <v>246</v>
      </c>
      <c r="C51" s="8" t="s">
        <v>247</v>
      </c>
      <c r="D51" s="13"/>
    </row>
    <row r="52" spans="1:7" ht="31.2" x14ac:dyDescent="0.3">
      <c r="A52" s="8" t="s">
        <v>248</v>
      </c>
      <c r="B52" s="8" t="s">
        <v>249</v>
      </c>
      <c r="C52" s="8" t="s">
        <v>250</v>
      </c>
    </row>
    <row r="54" spans="1:7" x14ac:dyDescent="0.3">
      <c r="A54" s="27" t="s">
        <v>11</v>
      </c>
      <c r="B54" s="18"/>
      <c r="C54" s="18"/>
      <c r="D54" s="18"/>
      <c r="E54" s="18"/>
      <c r="F54" s="18"/>
      <c r="G54" s="18"/>
    </row>
    <row r="55" spans="1:7" x14ac:dyDescent="0.3">
      <c r="A55" s="45" t="s">
        <v>12</v>
      </c>
      <c r="B55" s="41" t="s">
        <v>13</v>
      </c>
      <c r="C55" s="41" t="s">
        <v>14</v>
      </c>
      <c r="D55" s="34" t="s">
        <v>66</v>
      </c>
      <c r="E55" s="41" t="s">
        <v>15</v>
      </c>
      <c r="F55" s="34" t="s">
        <v>65</v>
      </c>
      <c r="G55" s="34" t="s">
        <v>64</v>
      </c>
    </row>
    <row r="56" spans="1:7" ht="46.8" x14ac:dyDescent="0.3">
      <c r="A56" s="8" t="s">
        <v>16</v>
      </c>
      <c r="B56" s="8" t="s">
        <v>251</v>
      </c>
      <c r="C56" s="8" t="s">
        <v>252</v>
      </c>
      <c r="D56" s="8" t="s">
        <v>276</v>
      </c>
      <c r="E56" s="8" t="s">
        <v>190</v>
      </c>
      <c r="F56" s="8" t="s">
        <v>190</v>
      </c>
      <c r="G56" s="8" t="s">
        <v>58</v>
      </c>
    </row>
    <row r="57" spans="1:7" ht="46.8" x14ac:dyDescent="0.3">
      <c r="A57" s="8" t="s">
        <v>17</v>
      </c>
      <c r="B57" s="8" t="s">
        <v>253</v>
      </c>
      <c r="C57" s="8" t="s">
        <v>254</v>
      </c>
      <c r="D57" s="8" t="s">
        <v>277</v>
      </c>
      <c r="E57" s="8" t="s">
        <v>190</v>
      </c>
      <c r="F57" s="8" t="s">
        <v>190</v>
      </c>
      <c r="G57" s="8" t="s">
        <v>58</v>
      </c>
    </row>
    <row r="58" spans="1:7" s="18" customFormat="1" ht="31.2" x14ac:dyDescent="0.3">
      <c r="A58" s="8" t="s">
        <v>18</v>
      </c>
      <c r="B58" s="8" t="s">
        <v>255</v>
      </c>
      <c r="C58" s="8" t="s">
        <v>256</v>
      </c>
      <c r="D58" s="8" t="s">
        <v>278</v>
      </c>
      <c r="E58" s="8" t="s">
        <v>257</v>
      </c>
      <c r="F58" s="8" t="s">
        <v>257</v>
      </c>
      <c r="G58" s="8" t="s">
        <v>58</v>
      </c>
    </row>
    <row r="59" spans="1:7" s="18" customFormat="1" ht="31.2" x14ac:dyDescent="0.3">
      <c r="A59" s="8" t="s">
        <v>19</v>
      </c>
      <c r="B59" s="8" t="s">
        <v>238</v>
      </c>
      <c r="C59" s="8" t="s">
        <v>258</v>
      </c>
      <c r="D59" s="8" t="s">
        <v>279</v>
      </c>
      <c r="E59" s="8" t="s">
        <v>259</v>
      </c>
      <c r="F59" s="8" t="s">
        <v>259</v>
      </c>
      <c r="G59" s="8" t="s">
        <v>58</v>
      </c>
    </row>
    <row r="60" spans="1:7" s="18" customFormat="1" ht="31.2" x14ac:dyDescent="0.3">
      <c r="A60" s="8" t="s">
        <v>20</v>
      </c>
      <c r="B60" s="8" t="s">
        <v>241</v>
      </c>
      <c r="C60" s="8" t="s">
        <v>260</v>
      </c>
      <c r="D60" s="8" t="s">
        <v>280</v>
      </c>
      <c r="E60" s="8" t="s">
        <v>261</v>
      </c>
      <c r="F60" s="8" t="s">
        <v>261</v>
      </c>
      <c r="G60" s="8" t="s">
        <v>58</v>
      </c>
    </row>
    <row r="61" spans="1:7" s="18" customFormat="1" ht="31.2" x14ac:dyDescent="0.3">
      <c r="A61" s="8" t="s">
        <v>21</v>
      </c>
      <c r="B61" s="8" t="s">
        <v>247</v>
      </c>
      <c r="C61" s="8" t="s">
        <v>262</v>
      </c>
      <c r="D61" s="8" t="s">
        <v>281</v>
      </c>
      <c r="E61" s="8" t="s">
        <v>263</v>
      </c>
      <c r="F61" s="8" t="s">
        <v>263</v>
      </c>
      <c r="G61" s="8" t="s">
        <v>58</v>
      </c>
    </row>
    <row r="62" spans="1:7" s="18" customFormat="1" ht="31.2" x14ac:dyDescent="0.3">
      <c r="A62" s="8" t="s">
        <v>22</v>
      </c>
      <c r="B62" s="8" t="s">
        <v>264</v>
      </c>
      <c r="C62" s="8" t="s">
        <v>265</v>
      </c>
      <c r="D62" s="8" t="s">
        <v>282</v>
      </c>
      <c r="E62" s="8" t="s">
        <v>266</v>
      </c>
      <c r="F62" s="8" t="s">
        <v>266</v>
      </c>
      <c r="G62" s="8" t="s">
        <v>58</v>
      </c>
    </row>
    <row r="63" spans="1:7" s="18" customFormat="1" ht="31.2" x14ac:dyDescent="0.3">
      <c r="A63" s="8" t="s">
        <v>100</v>
      </c>
      <c r="B63" s="8" t="s">
        <v>267</v>
      </c>
      <c r="C63" s="8" t="s">
        <v>268</v>
      </c>
      <c r="D63" s="8" t="s">
        <v>283</v>
      </c>
      <c r="E63" s="8" t="s">
        <v>269</v>
      </c>
      <c r="F63" s="8" t="s">
        <v>270</v>
      </c>
      <c r="G63" s="8" t="s">
        <v>68</v>
      </c>
    </row>
    <row r="64" spans="1:7" s="18" customFormat="1" ht="46.8" x14ac:dyDescent="0.3">
      <c r="A64" s="8" t="s">
        <v>271</v>
      </c>
      <c r="B64" s="8" t="s">
        <v>272</v>
      </c>
      <c r="C64" s="8" t="s">
        <v>273</v>
      </c>
      <c r="D64" s="8" t="s">
        <v>284</v>
      </c>
      <c r="E64" s="8" t="s">
        <v>274</v>
      </c>
      <c r="F64" s="8" t="s">
        <v>275</v>
      </c>
      <c r="G64" s="8" t="s">
        <v>68</v>
      </c>
    </row>
    <row r="65" spans="1:10" s="18" customFormat="1" x14ac:dyDescent="0.3">
      <c r="A65" s="40"/>
      <c r="B65" s="40"/>
      <c r="C65" s="40"/>
      <c r="D65" s="40"/>
      <c r="E65" s="40"/>
      <c r="F65" s="40"/>
      <c r="G65" s="40"/>
    </row>
    <row r="67" spans="1:10" ht="20.399999999999999" x14ac:dyDescent="0.35">
      <c r="A67" s="59" t="s">
        <v>91</v>
      </c>
      <c r="B67" s="59"/>
      <c r="C67" s="59"/>
      <c r="D67" s="59"/>
      <c r="E67" s="59"/>
      <c r="F67" s="59"/>
      <c r="J67" s="18"/>
    </row>
    <row r="68" spans="1:10" x14ac:dyDescent="0.3">
      <c r="A68" s="18" t="s">
        <v>92</v>
      </c>
      <c r="J68" s="18"/>
    </row>
    <row r="69" spans="1:10" x14ac:dyDescent="0.3">
      <c r="A69" s="5" t="s">
        <v>321</v>
      </c>
    </row>
    <row r="70" spans="1:10" x14ac:dyDescent="0.3">
      <c r="A70" s="5" t="s">
        <v>322</v>
      </c>
      <c r="J70" s="9"/>
    </row>
    <row r="71" spans="1:10" x14ac:dyDescent="0.3">
      <c r="J71" s="9"/>
    </row>
    <row r="72" spans="1:10" x14ac:dyDescent="0.3">
      <c r="A72" s="2" t="s">
        <v>97</v>
      </c>
      <c r="J72" s="9"/>
    </row>
    <row r="73" spans="1:10" x14ac:dyDescent="0.3">
      <c r="A73" s="5" t="s">
        <v>23</v>
      </c>
      <c r="J73" s="9"/>
    </row>
    <row r="74" spans="1:10" x14ac:dyDescent="0.3">
      <c r="A74" s="5" t="s">
        <v>287</v>
      </c>
      <c r="J74" s="9"/>
    </row>
    <row r="75" spans="1:10" x14ac:dyDescent="0.3">
      <c r="A75" s="5"/>
      <c r="J75" s="9"/>
    </row>
    <row r="76" spans="1:10" x14ac:dyDescent="0.3">
      <c r="A76" s="2" t="s">
        <v>98</v>
      </c>
      <c r="J76" s="9"/>
    </row>
    <row r="77" spans="1:10" s="18" customFormat="1" x14ac:dyDescent="0.3">
      <c r="A77" s="18" t="s">
        <v>41</v>
      </c>
    </row>
    <row r="78" spans="1:10" s="18" customFormat="1" x14ac:dyDescent="0.3">
      <c r="A78" s="18" t="s">
        <v>288</v>
      </c>
    </row>
    <row r="79" spans="1:10" s="18" customFormat="1" x14ac:dyDescent="0.3">
      <c r="A79" s="18" t="s">
        <v>289</v>
      </c>
    </row>
    <row r="80" spans="1:10" s="18" customFormat="1" x14ac:dyDescent="0.3"/>
    <row r="81" spans="1:17" x14ac:dyDescent="0.3">
      <c r="A81" s="2" t="s">
        <v>40</v>
      </c>
      <c r="J81" s="9"/>
    </row>
    <row r="82" spans="1:17" x14ac:dyDescent="0.3">
      <c r="A82" s="2" t="s">
        <v>38</v>
      </c>
      <c r="J82" s="9"/>
    </row>
    <row r="83" spans="1:17" x14ac:dyDescent="0.3">
      <c r="A83" s="2" t="s">
        <v>39</v>
      </c>
      <c r="J83" s="9"/>
    </row>
    <row r="84" spans="1:17" x14ac:dyDescent="0.3">
      <c r="A84" s="18"/>
      <c r="B84" s="18"/>
      <c r="C84" s="18"/>
      <c r="D84" s="18"/>
      <c r="E84" s="18"/>
      <c r="F84" s="18"/>
      <c r="G84" s="18"/>
      <c r="H84" s="18"/>
      <c r="I84" s="18"/>
      <c r="J84" s="18"/>
    </row>
    <row r="85" spans="1:17" x14ac:dyDescent="0.3">
      <c r="A85" s="2" t="s">
        <v>44</v>
      </c>
      <c r="J85" s="9"/>
    </row>
    <row r="86" spans="1:17" x14ac:dyDescent="0.3">
      <c r="A86" s="2" t="s">
        <v>42</v>
      </c>
      <c r="J86" s="9"/>
    </row>
    <row r="87" spans="1:17" x14ac:dyDescent="0.3">
      <c r="A87" s="2" t="s">
        <v>43</v>
      </c>
      <c r="J87" s="9"/>
    </row>
    <row r="88" spans="1:17" x14ac:dyDescent="0.3">
      <c r="A88" s="18"/>
      <c r="B88" s="18"/>
      <c r="C88" s="18"/>
      <c r="D88" s="18"/>
      <c r="E88" s="18"/>
      <c r="F88" s="18"/>
      <c r="G88" s="18"/>
      <c r="H88" s="18"/>
      <c r="I88" s="18"/>
      <c r="J88" s="18"/>
    </row>
    <row r="89" spans="1:17" x14ac:dyDescent="0.3">
      <c r="A89" s="2" t="s">
        <v>324</v>
      </c>
      <c r="J89" s="9"/>
    </row>
    <row r="90" spans="1:17" x14ac:dyDescent="0.3">
      <c r="A90" s="2" t="s">
        <v>45</v>
      </c>
      <c r="J90" s="9"/>
    </row>
    <row r="91" spans="1:17" x14ac:dyDescent="0.3">
      <c r="A91" s="2" t="s">
        <v>46</v>
      </c>
      <c r="J91" s="9"/>
    </row>
    <row r="92" spans="1:17" x14ac:dyDescent="0.3">
      <c r="J92" s="9"/>
    </row>
    <row r="93" spans="1:17" x14ac:dyDescent="0.3">
      <c r="J93" s="9"/>
    </row>
    <row r="94" spans="1:17" x14ac:dyDescent="0.3">
      <c r="A94" s="2" t="s">
        <v>99</v>
      </c>
    </row>
    <row r="96" spans="1:17" x14ac:dyDescent="0.3">
      <c r="A96" s="28" t="s">
        <v>24</v>
      </c>
      <c r="B96" s="39" t="s">
        <v>25</v>
      </c>
      <c r="C96" s="39" t="s">
        <v>26</v>
      </c>
      <c r="D96" s="39" t="s">
        <v>27</v>
      </c>
      <c r="E96" s="39" t="s">
        <v>28</v>
      </c>
      <c r="F96" s="39" t="s">
        <v>29</v>
      </c>
      <c r="G96" s="39" t="s">
        <v>30</v>
      </c>
      <c r="H96" s="39" t="s">
        <v>31</v>
      </c>
      <c r="I96" s="39" t="s">
        <v>32</v>
      </c>
      <c r="J96" s="39" t="s">
        <v>294</v>
      </c>
      <c r="K96" s="39" t="s">
        <v>295</v>
      </c>
      <c r="L96" s="39" t="s">
        <v>296</v>
      </c>
      <c r="M96" s="39" t="s">
        <v>297</v>
      </c>
      <c r="N96" s="39" t="s">
        <v>298</v>
      </c>
      <c r="O96" s="39" t="s">
        <v>299</v>
      </c>
      <c r="P96" s="39" t="s">
        <v>300</v>
      </c>
      <c r="Q96" s="39" t="s">
        <v>301</v>
      </c>
    </row>
    <row r="97" spans="1:17" ht="15.6" customHeight="1" x14ac:dyDescent="0.3">
      <c r="A97" s="8" t="s">
        <v>302</v>
      </c>
      <c r="B97" s="20" t="s">
        <v>33</v>
      </c>
      <c r="C97" s="20" t="s">
        <v>33</v>
      </c>
      <c r="D97" s="20" t="s">
        <v>33</v>
      </c>
      <c r="E97" s="20" t="s">
        <v>33</v>
      </c>
      <c r="F97" s="20" t="s">
        <v>33</v>
      </c>
      <c r="G97" s="20" t="s">
        <v>33</v>
      </c>
      <c r="H97" s="20" t="s">
        <v>33</v>
      </c>
      <c r="I97" s="20" t="s">
        <v>33</v>
      </c>
      <c r="J97" s="20" t="s">
        <v>34</v>
      </c>
      <c r="K97" s="20" t="s">
        <v>34</v>
      </c>
      <c r="L97" s="20" t="s">
        <v>34</v>
      </c>
      <c r="M97" s="20" t="s">
        <v>34</v>
      </c>
      <c r="N97" s="20" t="s">
        <v>34</v>
      </c>
      <c r="O97" s="20" t="s">
        <v>34</v>
      </c>
      <c r="P97" s="20" t="s">
        <v>34</v>
      </c>
      <c r="Q97" s="20" t="s">
        <v>34</v>
      </c>
    </row>
    <row r="98" spans="1:17" x14ac:dyDescent="0.3">
      <c r="A98" s="8" t="s">
        <v>303</v>
      </c>
      <c r="B98" s="20" t="s">
        <v>33</v>
      </c>
      <c r="C98" s="20" t="s">
        <v>33</v>
      </c>
      <c r="D98" s="20" t="s">
        <v>33</v>
      </c>
      <c r="E98" s="20" t="s">
        <v>33</v>
      </c>
      <c r="F98" s="20" t="s">
        <v>34</v>
      </c>
      <c r="G98" s="20" t="s">
        <v>34</v>
      </c>
      <c r="H98" s="20" t="s">
        <v>34</v>
      </c>
      <c r="I98" s="20" t="s">
        <v>34</v>
      </c>
      <c r="J98" s="20" t="s">
        <v>33</v>
      </c>
      <c r="K98" s="20" t="s">
        <v>33</v>
      </c>
      <c r="L98" s="20" t="s">
        <v>33</v>
      </c>
      <c r="M98" s="20" t="s">
        <v>33</v>
      </c>
      <c r="N98" s="20" t="s">
        <v>34</v>
      </c>
      <c r="O98" s="20" t="s">
        <v>34</v>
      </c>
      <c r="P98" s="20" t="s">
        <v>34</v>
      </c>
      <c r="Q98" s="20" t="s">
        <v>34</v>
      </c>
    </row>
    <row r="99" spans="1:17" x14ac:dyDescent="0.3">
      <c r="A99" s="8" t="s">
        <v>304</v>
      </c>
      <c r="B99" s="20" t="s">
        <v>33</v>
      </c>
      <c r="C99" s="20" t="s">
        <v>33</v>
      </c>
      <c r="D99" s="20" t="s">
        <v>34</v>
      </c>
      <c r="E99" s="20" t="s">
        <v>34</v>
      </c>
      <c r="F99" s="20" t="s">
        <v>33</v>
      </c>
      <c r="G99" s="20" t="s">
        <v>33</v>
      </c>
      <c r="H99" s="20" t="s">
        <v>34</v>
      </c>
      <c r="I99" s="20" t="s">
        <v>34</v>
      </c>
      <c r="J99" s="20" t="s">
        <v>33</v>
      </c>
      <c r="K99" s="20" t="s">
        <v>33</v>
      </c>
      <c r="L99" s="20" t="s">
        <v>34</v>
      </c>
      <c r="M99" s="20" t="s">
        <v>34</v>
      </c>
      <c r="N99" s="20" t="s">
        <v>33</v>
      </c>
      <c r="O99" s="20" t="s">
        <v>33</v>
      </c>
      <c r="P99" s="20" t="s">
        <v>34</v>
      </c>
      <c r="Q99" s="20" t="s">
        <v>34</v>
      </c>
    </row>
    <row r="100" spans="1:17" x14ac:dyDescent="0.3">
      <c r="A100" s="8" t="s">
        <v>305</v>
      </c>
      <c r="B100" s="20" t="s">
        <v>33</v>
      </c>
      <c r="C100" s="20" t="s">
        <v>34</v>
      </c>
      <c r="D100" s="20" t="s">
        <v>33</v>
      </c>
      <c r="E100" s="20" t="s">
        <v>34</v>
      </c>
      <c r="F100" s="20" t="s">
        <v>33</v>
      </c>
      <c r="G100" s="20" t="s">
        <v>34</v>
      </c>
      <c r="H100" s="20" t="s">
        <v>33</v>
      </c>
      <c r="I100" s="20" t="s">
        <v>34</v>
      </c>
      <c r="J100" s="20" t="s">
        <v>33</v>
      </c>
      <c r="K100" s="20" t="s">
        <v>34</v>
      </c>
      <c r="L100" s="20" t="s">
        <v>33</v>
      </c>
      <c r="M100" s="20" t="s">
        <v>34</v>
      </c>
      <c r="N100" s="20" t="s">
        <v>33</v>
      </c>
      <c r="O100" s="20" t="s">
        <v>34</v>
      </c>
      <c r="P100" s="20" t="s">
        <v>33</v>
      </c>
      <c r="Q100" s="20" t="s">
        <v>34</v>
      </c>
    </row>
    <row r="101" spans="1:17" x14ac:dyDescent="0.3">
      <c r="A101" s="28" t="s">
        <v>35</v>
      </c>
      <c r="B101" s="61"/>
      <c r="C101" s="62"/>
      <c r="D101" s="62"/>
      <c r="E101" s="62"/>
      <c r="F101" s="62"/>
      <c r="G101" s="62"/>
      <c r="H101" s="62"/>
      <c r="I101" s="62"/>
      <c r="J101" s="62"/>
      <c r="K101" s="62"/>
      <c r="L101" s="62"/>
      <c r="M101" s="62"/>
      <c r="N101" s="62"/>
      <c r="O101" s="62"/>
      <c r="P101" s="62"/>
      <c r="Q101" s="63"/>
    </row>
    <row r="102" spans="1:17" x14ac:dyDescent="0.3">
      <c r="A102" s="1" t="s">
        <v>118</v>
      </c>
      <c r="B102" s="20"/>
      <c r="C102" s="20"/>
      <c r="D102" s="20"/>
      <c r="E102" s="20"/>
      <c r="F102" s="20"/>
      <c r="G102" s="20"/>
      <c r="H102" s="20"/>
      <c r="I102" s="20"/>
      <c r="J102" s="20" t="s">
        <v>36</v>
      </c>
      <c r="K102" s="20" t="s">
        <v>36</v>
      </c>
      <c r="L102" s="20" t="s">
        <v>36</v>
      </c>
      <c r="M102" s="20" t="s">
        <v>36</v>
      </c>
      <c r="N102" s="20" t="s">
        <v>36</v>
      </c>
      <c r="O102" s="20" t="s">
        <v>36</v>
      </c>
      <c r="P102" s="20" t="s">
        <v>36</v>
      </c>
      <c r="Q102" s="20" t="s">
        <v>36</v>
      </c>
    </row>
    <row r="103" spans="1:17" x14ac:dyDescent="0.3">
      <c r="A103" s="8" t="s">
        <v>306</v>
      </c>
      <c r="B103" s="20" t="s">
        <v>36</v>
      </c>
      <c r="C103" s="20" t="s">
        <v>36</v>
      </c>
      <c r="D103" s="20" t="s">
        <v>36</v>
      </c>
      <c r="E103" s="20" t="s">
        <v>36</v>
      </c>
      <c r="F103" s="20" t="s">
        <v>36</v>
      </c>
      <c r="G103" s="20" t="s">
        <v>36</v>
      </c>
      <c r="H103" s="20" t="s">
        <v>36</v>
      </c>
      <c r="I103" s="20" t="s">
        <v>36</v>
      </c>
      <c r="J103" s="20"/>
      <c r="K103" s="20"/>
      <c r="L103" s="20"/>
      <c r="M103" s="20"/>
      <c r="N103" s="20"/>
      <c r="O103" s="20"/>
      <c r="P103" s="20"/>
      <c r="Q103" s="20"/>
    </row>
    <row r="104" spans="1:17" x14ac:dyDescent="0.3">
      <c r="A104" s="8" t="s">
        <v>307</v>
      </c>
      <c r="B104" s="20" t="s">
        <v>36</v>
      </c>
      <c r="C104" s="20" t="s">
        <v>36</v>
      </c>
      <c r="D104" s="20" t="s">
        <v>36</v>
      </c>
      <c r="E104" s="20" t="s">
        <v>36</v>
      </c>
      <c r="F104" s="20"/>
      <c r="G104" s="20"/>
      <c r="H104" s="20"/>
      <c r="I104" s="20"/>
      <c r="J104" s="20"/>
      <c r="K104" s="20"/>
      <c r="L104" s="20"/>
      <c r="M104" s="20"/>
      <c r="N104" s="20"/>
      <c r="O104" s="20"/>
      <c r="P104" s="20"/>
      <c r="Q104" s="20"/>
    </row>
    <row r="105" spans="1:17" s="18" customFormat="1" x14ac:dyDescent="0.3">
      <c r="A105" s="8" t="s">
        <v>308</v>
      </c>
      <c r="B105" s="20" t="s">
        <v>36</v>
      </c>
      <c r="C105" s="20" t="s">
        <v>36</v>
      </c>
      <c r="D105" s="20"/>
      <c r="E105" s="20"/>
      <c r="F105" s="20" t="s">
        <v>36</v>
      </c>
      <c r="G105" s="20" t="s">
        <v>36</v>
      </c>
      <c r="H105" s="20"/>
      <c r="I105" s="20"/>
      <c r="J105" s="20"/>
      <c r="K105" s="20"/>
      <c r="L105" s="20"/>
      <c r="M105" s="20"/>
      <c r="N105" s="20"/>
      <c r="O105" s="20"/>
      <c r="P105" s="20"/>
      <c r="Q105" s="20"/>
    </row>
    <row r="106" spans="1:17" s="18" customFormat="1" x14ac:dyDescent="0.3">
      <c r="A106" s="8" t="s">
        <v>309</v>
      </c>
      <c r="B106" s="20" t="s">
        <v>36</v>
      </c>
      <c r="C106" s="20"/>
      <c r="D106" s="20" t="s">
        <v>36</v>
      </c>
      <c r="E106" s="20"/>
      <c r="F106" s="20" t="s">
        <v>36</v>
      </c>
      <c r="G106" s="20"/>
      <c r="H106" s="20" t="s">
        <v>36</v>
      </c>
      <c r="I106" s="20"/>
      <c r="J106" s="20"/>
      <c r="K106" s="20"/>
      <c r="L106" s="20"/>
      <c r="M106" s="20"/>
      <c r="N106" s="20"/>
      <c r="O106" s="20"/>
      <c r="P106" s="20"/>
      <c r="Q106" s="20"/>
    </row>
    <row r="107" spans="1:17" x14ac:dyDescent="0.3">
      <c r="D107" s="2"/>
    </row>
    <row r="108" spans="1:17" x14ac:dyDescent="0.3">
      <c r="A108" s="2" t="s">
        <v>96</v>
      </c>
      <c r="D108" s="2"/>
    </row>
    <row r="109" spans="1:17" x14ac:dyDescent="0.3">
      <c r="A109" t="s">
        <v>325</v>
      </c>
      <c r="D109" s="2"/>
    </row>
    <row r="110" spans="1:17" x14ac:dyDescent="0.3">
      <c r="A110" s="18" t="s">
        <v>326</v>
      </c>
      <c r="D110" s="2"/>
    </row>
    <row r="111" spans="1:17" s="18" customFormat="1" x14ac:dyDescent="0.3">
      <c r="A111" s="7"/>
    </row>
    <row r="112" spans="1:17" s="18" customFormat="1" ht="20.399999999999999" customHeight="1" x14ac:dyDescent="0.3">
      <c r="A112" s="28" t="s">
        <v>24</v>
      </c>
      <c r="B112" s="20" t="s">
        <v>25</v>
      </c>
      <c r="C112" s="20" t="s">
        <v>26</v>
      </c>
      <c r="D112" s="20" t="s">
        <v>27</v>
      </c>
      <c r="E112" s="20" t="s">
        <v>28</v>
      </c>
      <c r="F112" s="20" t="s">
        <v>29</v>
      </c>
      <c r="G112" s="20" t="s">
        <v>30</v>
      </c>
      <c r="H112" s="20" t="s">
        <v>31</v>
      </c>
      <c r="I112" s="20" t="s">
        <v>32</v>
      </c>
      <c r="J112" s="20" t="s">
        <v>310</v>
      </c>
    </row>
    <row r="113" spans="1:10" s="18" customFormat="1" x14ac:dyDescent="0.3">
      <c r="A113" s="8" t="s">
        <v>302</v>
      </c>
      <c r="B113" s="20" t="s">
        <v>33</v>
      </c>
      <c r="C113" s="20" t="s">
        <v>33</v>
      </c>
      <c r="D113" s="20" t="s">
        <v>33</v>
      </c>
      <c r="E113" s="20" t="s">
        <v>33</v>
      </c>
      <c r="F113" s="20" t="s">
        <v>33</v>
      </c>
      <c r="G113" s="20" t="s">
        <v>33</v>
      </c>
      <c r="H113" s="20" t="s">
        <v>33</v>
      </c>
      <c r="I113" s="20" t="s">
        <v>33</v>
      </c>
      <c r="J113" s="20" t="s">
        <v>34</v>
      </c>
    </row>
    <row r="114" spans="1:10" s="18" customFormat="1" x14ac:dyDescent="0.3">
      <c r="A114" s="8" t="s">
        <v>303</v>
      </c>
      <c r="B114" s="20" t="s">
        <v>33</v>
      </c>
      <c r="C114" s="20" t="s">
        <v>33</v>
      </c>
      <c r="D114" s="20" t="s">
        <v>33</v>
      </c>
      <c r="E114" s="20" t="s">
        <v>33</v>
      </c>
      <c r="F114" s="20" t="s">
        <v>34</v>
      </c>
      <c r="G114" s="20" t="s">
        <v>34</v>
      </c>
      <c r="H114" s="20" t="s">
        <v>34</v>
      </c>
      <c r="I114" s="20" t="s">
        <v>34</v>
      </c>
      <c r="J114" s="20"/>
    </row>
    <row r="115" spans="1:10" s="18" customFormat="1" x14ac:dyDescent="0.3">
      <c r="A115" s="8" t="s">
        <v>304</v>
      </c>
      <c r="B115" s="20" t="s">
        <v>33</v>
      </c>
      <c r="C115" s="20" t="s">
        <v>33</v>
      </c>
      <c r="D115" s="20" t="s">
        <v>34</v>
      </c>
      <c r="E115" s="20" t="s">
        <v>34</v>
      </c>
      <c r="F115" s="20" t="s">
        <v>33</v>
      </c>
      <c r="G115" s="20" t="s">
        <v>33</v>
      </c>
      <c r="H115" s="20" t="s">
        <v>34</v>
      </c>
      <c r="I115" s="20" t="s">
        <v>34</v>
      </c>
      <c r="J115" s="20"/>
    </row>
    <row r="116" spans="1:10" s="18" customFormat="1" x14ac:dyDescent="0.3">
      <c r="A116" s="8" t="s">
        <v>126</v>
      </c>
      <c r="B116" s="20" t="s">
        <v>33</v>
      </c>
      <c r="C116" s="20" t="s">
        <v>34</v>
      </c>
      <c r="D116" s="20" t="s">
        <v>33</v>
      </c>
      <c r="E116" s="20" t="s">
        <v>34</v>
      </c>
      <c r="F116" s="20" t="s">
        <v>33</v>
      </c>
      <c r="G116" s="20" t="s">
        <v>34</v>
      </c>
      <c r="H116" s="20" t="s">
        <v>33</v>
      </c>
      <c r="I116" s="20" t="s">
        <v>34</v>
      </c>
      <c r="J116" s="20"/>
    </row>
    <row r="117" spans="1:10" s="18" customFormat="1" x14ac:dyDescent="0.3">
      <c r="A117" s="28" t="s">
        <v>35</v>
      </c>
      <c r="B117" s="61"/>
      <c r="C117" s="62"/>
      <c r="D117" s="62"/>
      <c r="E117" s="62"/>
      <c r="F117" s="62"/>
      <c r="G117" s="62"/>
      <c r="H117" s="62"/>
      <c r="I117" s="62"/>
      <c r="J117" s="63"/>
    </row>
    <row r="118" spans="1:10" s="18" customFormat="1" x14ac:dyDescent="0.3">
      <c r="A118" s="1" t="s">
        <v>118</v>
      </c>
      <c r="B118" s="20"/>
      <c r="C118" s="20"/>
      <c r="D118" s="20"/>
      <c r="E118" s="20"/>
      <c r="F118" s="20"/>
      <c r="G118" s="20"/>
      <c r="H118" s="20"/>
      <c r="I118" s="20"/>
      <c r="J118" s="20" t="s">
        <v>36</v>
      </c>
    </row>
    <row r="119" spans="1:10" s="18" customFormat="1" x14ac:dyDescent="0.3">
      <c r="A119" s="8" t="s">
        <v>306</v>
      </c>
      <c r="B119" s="20" t="s">
        <v>36</v>
      </c>
      <c r="C119" s="20" t="s">
        <v>36</v>
      </c>
      <c r="D119" s="20" t="s">
        <v>36</v>
      </c>
      <c r="E119" s="20" t="s">
        <v>36</v>
      </c>
      <c r="F119" s="20" t="s">
        <v>36</v>
      </c>
      <c r="G119" s="20" t="s">
        <v>36</v>
      </c>
      <c r="H119" s="20" t="s">
        <v>36</v>
      </c>
      <c r="I119" s="20" t="s">
        <v>36</v>
      </c>
      <c r="J119" s="20"/>
    </row>
    <row r="120" spans="1:10" s="18" customFormat="1" x14ac:dyDescent="0.3">
      <c r="A120" s="8" t="s">
        <v>307</v>
      </c>
      <c r="B120" s="20" t="s">
        <v>36</v>
      </c>
      <c r="C120" s="20" t="s">
        <v>36</v>
      </c>
      <c r="D120" s="20" t="s">
        <v>36</v>
      </c>
      <c r="E120" s="20" t="s">
        <v>36</v>
      </c>
      <c r="F120" s="20"/>
      <c r="G120" s="20"/>
      <c r="H120" s="20"/>
      <c r="I120" s="20"/>
      <c r="J120" s="20"/>
    </row>
    <row r="121" spans="1:10" s="18" customFormat="1" x14ac:dyDescent="0.3">
      <c r="A121" s="8" t="s">
        <v>308</v>
      </c>
      <c r="B121" s="20" t="s">
        <v>36</v>
      </c>
      <c r="C121" s="20" t="s">
        <v>36</v>
      </c>
      <c r="D121" s="20"/>
      <c r="E121" s="20"/>
      <c r="F121" s="20" t="s">
        <v>36</v>
      </c>
      <c r="G121" s="20" t="s">
        <v>36</v>
      </c>
      <c r="H121" s="20"/>
      <c r="I121" s="20"/>
      <c r="J121" s="20"/>
    </row>
    <row r="122" spans="1:10" s="18" customFormat="1" x14ac:dyDescent="0.3">
      <c r="A122" s="8" t="s">
        <v>309</v>
      </c>
      <c r="B122" s="20" t="s">
        <v>36</v>
      </c>
      <c r="C122" s="20"/>
      <c r="D122" s="20" t="s">
        <v>36</v>
      </c>
      <c r="E122" s="20"/>
      <c r="F122" s="20" t="s">
        <v>36</v>
      </c>
      <c r="G122" s="20"/>
      <c r="H122" s="20" t="s">
        <v>36</v>
      </c>
      <c r="I122" s="20"/>
      <c r="J122" s="20"/>
    </row>
    <row r="124" spans="1:10" x14ac:dyDescent="0.3">
      <c r="A124" s="27" t="s">
        <v>37</v>
      </c>
    </row>
    <row r="125" spans="1:10" x14ac:dyDescent="0.3">
      <c r="A125" s="16" t="s">
        <v>327</v>
      </c>
    </row>
    <row r="126" spans="1:10" x14ac:dyDescent="0.3">
      <c r="A126" s="16" t="s">
        <v>328</v>
      </c>
    </row>
    <row r="127" spans="1:10" x14ac:dyDescent="0.3">
      <c r="A127" s="16" t="s">
        <v>329</v>
      </c>
    </row>
    <row r="128" spans="1:10" x14ac:dyDescent="0.3">
      <c r="A128" s="15" t="s">
        <v>330</v>
      </c>
    </row>
    <row r="129" spans="1:1" x14ac:dyDescent="0.3">
      <c r="A129" s="15" t="s">
        <v>331</v>
      </c>
    </row>
    <row r="130" spans="1:1" x14ac:dyDescent="0.3">
      <c r="A130" s="15" t="s">
        <v>332</v>
      </c>
    </row>
    <row r="131" spans="1:1" x14ac:dyDescent="0.3">
      <c r="A131" s="15" t="s">
        <v>333</v>
      </c>
    </row>
    <row r="132" spans="1:1" x14ac:dyDescent="0.3">
      <c r="A132" s="15" t="s">
        <v>334</v>
      </c>
    </row>
    <row r="133" spans="1:1" x14ac:dyDescent="0.3">
      <c r="A133" s="15" t="s">
        <v>335</v>
      </c>
    </row>
  </sheetData>
  <mergeCells count="5">
    <mergeCell ref="B117:J117"/>
    <mergeCell ref="B101:Q101"/>
    <mergeCell ref="A1:F1"/>
    <mergeCell ref="A67:F67"/>
    <mergeCell ref="D3:F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086C7-4D08-4E01-95A2-0551DDD25B99}">
  <dimension ref="A1:D18"/>
  <sheetViews>
    <sheetView workbookViewId="0">
      <selection activeCell="J17" sqref="J17"/>
    </sheetView>
  </sheetViews>
  <sheetFormatPr defaultRowHeight="14.4" x14ac:dyDescent="0.3"/>
  <cols>
    <col min="1" max="1" width="16.44140625" customWidth="1"/>
    <col min="2" max="2" width="17.5546875" customWidth="1"/>
    <col min="3" max="3" width="39.77734375" customWidth="1"/>
    <col min="4" max="4" width="15.33203125" customWidth="1"/>
  </cols>
  <sheetData>
    <row r="1" spans="1:4" s="48" customFormat="1" x14ac:dyDescent="0.3">
      <c r="A1" s="49" t="s">
        <v>337</v>
      </c>
      <c r="B1" s="49" t="s">
        <v>338</v>
      </c>
      <c r="C1" s="49" t="s">
        <v>339</v>
      </c>
      <c r="D1" s="49" t="s">
        <v>340</v>
      </c>
    </row>
    <row r="2" spans="1:4" ht="31.2" x14ac:dyDescent="0.3">
      <c r="A2" s="20" t="s">
        <v>341</v>
      </c>
      <c r="B2" s="20" t="s">
        <v>342</v>
      </c>
      <c r="C2" s="20" t="s">
        <v>343</v>
      </c>
      <c r="D2" s="20" t="s">
        <v>344</v>
      </c>
    </row>
    <row r="3" spans="1:4" ht="31.2" x14ac:dyDescent="0.3">
      <c r="A3" s="20" t="s">
        <v>345</v>
      </c>
      <c r="B3" s="20" t="s">
        <v>342</v>
      </c>
      <c r="C3" s="20" t="s">
        <v>346</v>
      </c>
      <c r="D3" s="20" t="s">
        <v>347</v>
      </c>
    </row>
    <row r="4" spans="1:4" ht="15.6" x14ac:dyDescent="0.3">
      <c r="A4" s="20" t="s">
        <v>348</v>
      </c>
      <c r="B4" s="20" t="s">
        <v>342</v>
      </c>
      <c r="C4" s="20" t="s">
        <v>349</v>
      </c>
      <c r="D4" s="20" t="s">
        <v>350</v>
      </c>
    </row>
    <row r="5" spans="1:4" ht="31.2" x14ac:dyDescent="0.3">
      <c r="A5" s="20" t="s">
        <v>351</v>
      </c>
      <c r="B5" s="20" t="s">
        <v>342</v>
      </c>
      <c r="C5" s="20" t="s">
        <v>352</v>
      </c>
      <c r="D5" s="20" t="s">
        <v>353</v>
      </c>
    </row>
    <row r="6" spans="1:4" ht="31.2" x14ac:dyDescent="0.3">
      <c r="A6" s="20" t="s">
        <v>354</v>
      </c>
      <c r="B6" s="20" t="s">
        <v>342</v>
      </c>
      <c r="C6" s="20" t="s">
        <v>355</v>
      </c>
      <c r="D6" s="20" t="s">
        <v>356</v>
      </c>
    </row>
    <row r="7" spans="1:4" ht="31.2" x14ac:dyDescent="0.3">
      <c r="A7" s="20" t="s">
        <v>357</v>
      </c>
      <c r="B7" s="20" t="s">
        <v>342</v>
      </c>
      <c r="C7" s="20" t="s">
        <v>358</v>
      </c>
      <c r="D7" s="20" t="s">
        <v>359</v>
      </c>
    </row>
    <row r="8" spans="1:4" ht="15.6" x14ac:dyDescent="0.3">
      <c r="A8" s="20" t="s">
        <v>360</v>
      </c>
      <c r="B8" s="20" t="s">
        <v>342</v>
      </c>
      <c r="C8" s="20" t="s">
        <v>361</v>
      </c>
      <c r="D8" s="20" t="s">
        <v>362</v>
      </c>
    </row>
    <row r="9" spans="1:4" ht="15.6" x14ac:dyDescent="0.3">
      <c r="A9" s="20" t="s">
        <v>363</v>
      </c>
      <c r="B9" s="20" t="s">
        <v>342</v>
      </c>
      <c r="C9" s="20" t="s">
        <v>364</v>
      </c>
      <c r="D9" s="20" t="s">
        <v>365</v>
      </c>
    </row>
    <row r="10" spans="1:4" ht="15.6" x14ac:dyDescent="0.3">
      <c r="A10" s="20" t="s">
        <v>366</v>
      </c>
      <c r="B10" s="20" t="s">
        <v>367</v>
      </c>
      <c r="C10" s="20" t="s">
        <v>368</v>
      </c>
      <c r="D10" s="20" t="s">
        <v>369</v>
      </c>
    </row>
    <row r="11" spans="1:4" ht="15.6" x14ac:dyDescent="0.3">
      <c r="A11" s="20" t="s">
        <v>370</v>
      </c>
      <c r="B11" s="20" t="s">
        <v>367</v>
      </c>
      <c r="C11" s="20" t="s">
        <v>371</v>
      </c>
      <c r="D11" s="20" t="s">
        <v>372</v>
      </c>
    </row>
    <row r="12" spans="1:4" ht="31.2" x14ac:dyDescent="0.3">
      <c r="A12" s="20" t="s">
        <v>373</v>
      </c>
      <c r="B12" s="20" t="s">
        <v>367</v>
      </c>
      <c r="C12" s="20" t="s">
        <v>374</v>
      </c>
      <c r="D12" s="20" t="s">
        <v>375</v>
      </c>
    </row>
    <row r="13" spans="1:4" ht="15.6" x14ac:dyDescent="0.3">
      <c r="A13" s="20" t="s">
        <v>376</v>
      </c>
      <c r="B13" s="20" t="s">
        <v>367</v>
      </c>
      <c r="C13" s="20" t="s">
        <v>377</v>
      </c>
      <c r="D13" s="20" t="s">
        <v>378</v>
      </c>
    </row>
    <row r="14" spans="1:4" ht="15.6" x14ac:dyDescent="0.3">
      <c r="A14" s="20" t="s">
        <v>379</v>
      </c>
      <c r="B14" s="20" t="s">
        <v>367</v>
      </c>
      <c r="C14" s="20" t="s">
        <v>380</v>
      </c>
      <c r="D14" s="20" t="s">
        <v>381</v>
      </c>
    </row>
    <row r="15" spans="1:4" ht="15.6" x14ac:dyDescent="0.3">
      <c r="A15" s="20" t="s">
        <v>382</v>
      </c>
      <c r="B15" s="20" t="s">
        <v>367</v>
      </c>
      <c r="C15" s="20" t="s">
        <v>383</v>
      </c>
      <c r="D15" s="20" t="s">
        <v>384</v>
      </c>
    </row>
    <row r="16" spans="1:4" ht="15.6" x14ac:dyDescent="0.3">
      <c r="A16" s="20" t="s">
        <v>385</v>
      </c>
      <c r="B16" s="20" t="s">
        <v>367</v>
      </c>
      <c r="C16" s="20" t="s">
        <v>386</v>
      </c>
      <c r="D16" s="20" t="s">
        <v>387</v>
      </c>
    </row>
    <row r="17" spans="1:4" ht="15.6" x14ac:dyDescent="0.3">
      <c r="A17" s="20" t="s">
        <v>388</v>
      </c>
      <c r="B17" s="20" t="s">
        <v>367</v>
      </c>
      <c r="C17" s="20" t="s">
        <v>389</v>
      </c>
      <c r="D17" s="20" t="s">
        <v>390</v>
      </c>
    </row>
    <row r="18" spans="1:4" ht="31.2" x14ac:dyDescent="0.3">
      <c r="A18" s="20" t="s">
        <v>391</v>
      </c>
      <c r="B18" s="20" t="s">
        <v>367</v>
      </c>
      <c r="C18" s="20" t="s">
        <v>392</v>
      </c>
      <c r="D18" s="20" t="s">
        <v>393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75309-20DA-40B0-89CA-CA3BD4BE357A}">
  <dimension ref="A1:C15"/>
  <sheetViews>
    <sheetView workbookViewId="0">
      <selection activeCell="G7" sqref="G7"/>
    </sheetView>
  </sheetViews>
  <sheetFormatPr defaultRowHeight="14.4" x14ac:dyDescent="0.3"/>
  <cols>
    <col min="1" max="1" width="16.21875" customWidth="1"/>
    <col min="2" max="2" width="34.21875" customWidth="1"/>
    <col min="3" max="3" width="37.44140625" customWidth="1"/>
  </cols>
  <sheetData>
    <row r="1" spans="1:3" x14ac:dyDescent="0.3">
      <c r="A1" s="54" t="s">
        <v>471</v>
      </c>
      <c r="B1" s="54" t="s">
        <v>432</v>
      </c>
      <c r="C1" s="54" t="s">
        <v>472</v>
      </c>
    </row>
    <row r="2" spans="1:3" ht="15.6" x14ac:dyDescent="0.3">
      <c r="A2" s="53" t="s">
        <v>434</v>
      </c>
      <c r="B2" s="52" t="s">
        <v>463</v>
      </c>
      <c r="C2" s="53" t="s">
        <v>16</v>
      </c>
    </row>
    <row r="3" spans="1:3" ht="31.2" x14ac:dyDescent="0.3">
      <c r="A3" s="53" t="s">
        <v>435</v>
      </c>
      <c r="B3" s="52" t="s">
        <v>464</v>
      </c>
      <c r="C3" s="53" t="s">
        <v>436</v>
      </c>
    </row>
    <row r="4" spans="1:3" ht="15.6" x14ac:dyDescent="0.3">
      <c r="A4" s="53" t="s">
        <v>437</v>
      </c>
      <c r="B4" s="52" t="s">
        <v>465</v>
      </c>
      <c r="C4" s="53" t="s">
        <v>438</v>
      </c>
    </row>
    <row r="5" spans="1:3" ht="15.6" x14ac:dyDescent="0.3">
      <c r="A5" s="53" t="s">
        <v>439</v>
      </c>
      <c r="B5" s="52" t="s">
        <v>440</v>
      </c>
      <c r="C5" s="53" t="s">
        <v>441</v>
      </c>
    </row>
    <row r="6" spans="1:3" ht="15.6" x14ac:dyDescent="0.3">
      <c r="A6" s="53" t="s">
        <v>442</v>
      </c>
      <c r="B6" s="52" t="s">
        <v>466</v>
      </c>
      <c r="C6" s="53" t="s">
        <v>443</v>
      </c>
    </row>
    <row r="7" spans="1:3" ht="15.6" x14ac:dyDescent="0.3">
      <c r="A7" s="53" t="s">
        <v>444</v>
      </c>
      <c r="B7" s="52" t="s">
        <v>445</v>
      </c>
      <c r="C7" s="53" t="s">
        <v>446</v>
      </c>
    </row>
    <row r="8" spans="1:3" ht="15.6" x14ac:dyDescent="0.3">
      <c r="A8" s="53" t="s">
        <v>447</v>
      </c>
      <c r="B8" s="52" t="s">
        <v>467</v>
      </c>
      <c r="C8" s="53" t="s">
        <v>446</v>
      </c>
    </row>
    <row r="9" spans="1:3" ht="15.6" x14ac:dyDescent="0.3">
      <c r="A9" s="53" t="s">
        <v>448</v>
      </c>
      <c r="B9" s="52" t="s">
        <v>449</v>
      </c>
      <c r="C9" s="53" t="s">
        <v>17</v>
      </c>
    </row>
    <row r="10" spans="1:3" ht="15.6" x14ac:dyDescent="0.3">
      <c r="A10" s="53" t="s">
        <v>450</v>
      </c>
      <c r="B10" s="52" t="s">
        <v>468</v>
      </c>
      <c r="C10" s="53" t="s">
        <v>22</v>
      </c>
    </row>
    <row r="11" spans="1:3" ht="15.6" x14ac:dyDescent="0.3">
      <c r="A11" s="53" t="s">
        <v>451</v>
      </c>
      <c r="B11" s="52" t="s">
        <v>452</v>
      </c>
      <c r="C11" s="53" t="s">
        <v>453</v>
      </c>
    </row>
    <row r="12" spans="1:3" ht="15.6" x14ac:dyDescent="0.3">
      <c r="A12" s="53" t="s">
        <v>454</v>
      </c>
      <c r="B12" s="52" t="s">
        <v>469</v>
      </c>
      <c r="C12" s="53" t="s">
        <v>455</v>
      </c>
    </row>
    <row r="13" spans="1:3" ht="15.6" x14ac:dyDescent="0.3">
      <c r="A13" s="53" t="s">
        <v>456</v>
      </c>
      <c r="B13" s="52" t="s">
        <v>457</v>
      </c>
      <c r="C13" s="53" t="s">
        <v>458</v>
      </c>
    </row>
    <row r="14" spans="1:3" ht="15.6" x14ac:dyDescent="0.3">
      <c r="A14" s="53" t="s">
        <v>459</v>
      </c>
      <c r="B14" s="52" t="s">
        <v>470</v>
      </c>
      <c r="C14" s="53" t="s">
        <v>100</v>
      </c>
    </row>
    <row r="15" spans="1:3" ht="31.2" x14ac:dyDescent="0.3">
      <c r="A15" s="53" t="s">
        <v>460</v>
      </c>
      <c r="B15" s="52" t="s">
        <v>461</v>
      </c>
      <c r="C15" s="53" t="s">
        <v>462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0865B-C833-49C0-9DC4-0CDF4E105D0D}">
  <dimension ref="A1:C17"/>
  <sheetViews>
    <sheetView workbookViewId="0">
      <selection activeCell="F12" sqref="F12"/>
    </sheetView>
  </sheetViews>
  <sheetFormatPr defaultRowHeight="14.4" x14ac:dyDescent="0.3"/>
  <cols>
    <col min="1" max="1" width="16.77734375" style="55" customWidth="1"/>
    <col min="2" max="2" width="32.5546875" style="55" customWidth="1"/>
    <col min="3" max="3" width="44.6640625" style="55" customWidth="1"/>
    <col min="4" max="16384" width="8.88671875" style="55"/>
  </cols>
  <sheetData>
    <row r="1" spans="1:3" x14ac:dyDescent="0.3">
      <c r="A1" s="54" t="s">
        <v>431</v>
      </c>
      <c r="B1" s="54" t="s">
        <v>432</v>
      </c>
      <c r="C1" s="54" t="s">
        <v>433</v>
      </c>
    </row>
    <row r="2" spans="1:3" ht="15.6" x14ac:dyDescent="0.3">
      <c r="A2" s="53" t="s">
        <v>434</v>
      </c>
      <c r="B2" s="52" t="s">
        <v>498</v>
      </c>
      <c r="C2" s="53" t="s">
        <v>16</v>
      </c>
    </row>
    <row r="3" spans="1:3" ht="31.2" x14ac:dyDescent="0.3">
      <c r="A3" s="53" t="s">
        <v>435</v>
      </c>
      <c r="B3" s="52" t="s">
        <v>473</v>
      </c>
      <c r="C3" s="53" t="s">
        <v>474</v>
      </c>
    </row>
    <row r="4" spans="1:3" ht="15.6" x14ac:dyDescent="0.3">
      <c r="A4" s="53" t="s">
        <v>475</v>
      </c>
      <c r="B4" s="52" t="s">
        <v>499</v>
      </c>
      <c r="C4" s="53" t="s">
        <v>17</v>
      </c>
    </row>
    <row r="5" spans="1:3" ht="15.6" x14ac:dyDescent="0.3">
      <c r="A5" s="53" t="s">
        <v>476</v>
      </c>
      <c r="B5" s="52" t="s">
        <v>477</v>
      </c>
      <c r="C5" s="53" t="s">
        <v>478</v>
      </c>
    </row>
    <row r="6" spans="1:3" ht="15.6" x14ac:dyDescent="0.3">
      <c r="A6" s="53" t="s">
        <v>479</v>
      </c>
      <c r="B6" s="52" t="s">
        <v>500</v>
      </c>
      <c r="C6" s="53" t="s">
        <v>480</v>
      </c>
    </row>
    <row r="7" spans="1:3" ht="15.6" x14ac:dyDescent="0.3">
      <c r="A7" s="53" t="s">
        <v>481</v>
      </c>
      <c r="B7" s="52" t="s">
        <v>482</v>
      </c>
      <c r="C7" s="53" t="s">
        <v>483</v>
      </c>
    </row>
    <row r="8" spans="1:3" ht="15.6" x14ac:dyDescent="0.3">
      <c r="A8" s="53" t="s">
        <v>484</v>
      </c>
      <c r="B8" s="52" t="s">
        <v>501</v>
      </c>
      <c r="C8" s="53" t="s">
        <v>485</v>
      </c>
    </row>
    <row r="9" spans="1:3" ht="15.6" x14ac:dyDescent="0.3">
      <c r="A9" s="53" t="s">
        <v>486</v>
      </c>
      <c r="B9" s="52" t="s">
        <v>502</v>
      </c>
      <c r="C9" s="53" t="s">
        <v>487</v>
      </c>
    </row>
    <row r="10" spans="1:3" ht="15.6" x14ac:dyDescent="0.3">
      <c r="A10" s="53" t="s">
        <v>450</v>
      </c>
      <c r="B10" s="52" t="s">
        <v>503</v>
      </c>
      <c r="C10" s="53" t="s">
        <v>488</v>
      </c>
    </row>
    <row r="11" spans="1:3" ht="15.6" x14ac:dyDescent="0.3">
      <c r="A11" s="53" t="s">
        <v>451</v>
      </c>
      <c r="B11" s="52" t="s">
        <v>489</v>
      </c>
      <c r="C11" s="53" t="s">
        <v>490</v>
      </c>
    </row>
    <row r="12" spans="1:3" ht="15.6" x14ac:dyDescent="0.3">
      <c r="A12" s="53" t="s">
        <v>454</v>
      </c>
      <c r="B12" s="52" t="s">
        <v>504</v>
      </c>
      <c r="C12" s="53" t="s">
        <v>100</v>
      </c>
    </row>
    <row r="13" spans="1:3" ht="15.6" x14ac:dyDescent="0.3">
      <c r="A13" s="53" t="s">
        <v>456</v>
      </c>
      <c r="B13" s="52" t="s">
        <v>505</v>
      </c>
      <c r="C13" s="53" t="s">
        <v>491</v>
      </c>
    </row>
    <row r="14" spans="1:3" ht="15.6" x14ac:dyDescent="0.3">
      <c r="A14" s="53" t="s">
        <v>459</v>
      </c>
      <c r="B14" s="52" t="s">
        <v>506</v>
      </c>
      <c r="C14" s="53" t="s">
        <v>22</v>
      </c>
    </row>
    <row r="15" spans="1:3" ht="15.6" x14ac:dyDescent="0.3">
      <c r="A15" s="53" t="s">
        <v>460</v>
      </c>
      <c r="B15" s="52" t="s">
        <v>492</v>
      </c>
      <c r="C15" s="53" t="s">
        <v>493</v>
      </c>
    </row>
    <row r="16" spans="1:3" ht="23.4" customHeight="1" x14ac:dyDescent="0.3">
      <c r="A16" s="53" t="s">
        <v>494</v>
      </c>
      <c r="B16" s="52" t="s">
        <v>507</v>
      </c>
      <c r="C16" s="53" t="s">
        <v>271</v>
      </c>
    </row>
    <row r="17" spans="1:3" ht="15.6" x14ac:dyDescent="0.3">
      <c r="A17" s="53" t="s">
        <v>495</v>
      </c>
      <c r="B17" s="52" t="s">
        <v>496</v>
      </c>
      <c r="C17" s="53" t="s">
        <v>497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AAE8A-FA75-4084-B6C8-6AF8EA138911}">
  <dimension ref="A1:Q14"/>
  <sheetViews>
    <sheetView workbookViewId="0">
      <selection activeCell="T19" sqref="T19"/>
    </sheetView>
  </sheetViews>
  <sheetFormatPr defaultRowHeight="15.6" x14ac:dyDescent="0.3"/>
  <cols>
    <col min="1" max="1" width="8.88671875" style="15"/>
    <col min="2" max="2" width="22.6640625" style="15" customWidth="1"/>
    <col min="3" max="3" width="11.5546875" style="15" customWidth="1"/>
    <col min="4" max="4" width="8.88671875" style="15"/>
    <col min="5" max="5" width="9.44140625" style="15" bestFit="1" customWidth="1"/>
    <col min="6" max="10" width="8.88671875" style="15"/>
    <col min="11" max="11" width="10.88671875" style="15" customWidth="1"/>
    <col min="12" max="12" width="9.44140625" style="15" customWidth="1"/>
    <col min="13" max="16384" width="8.88671875" style="15"/>
  </cols>
  <sheetData>
    <row r="1" spans="1:17" ht="22.8" x14ac:dyDescent="0.4">
      <c r="A1" s="64" t="s">
        <v>90</v>
      </c>
      <c r="B1" s="64"/>
      <c r="C1" s="64"/>
      <c r="D1" s="64"/>
      <c r="E1" s="64"/>
      <c r="F1" s="64"/>
      <c r="G1" s="64"/>
      <c r="H1" s="64"/>
      <c r="I1" s="64"/>
      <c r="J1" s="64"/>
      <c r="K1" s="64"/>
      <c r="L1" s="64"/>
      <c r="M1" s="64"/>
      <c r="N1" s="64"/>
      <c r="O1" s="64"/>
      <c r="P1" s="64"/>
      <c r="Q1" s="64"/>
    </row>
    <row r="2" spans="1:17" x14ac:dyDescent="0.3">
      <c r="A2" s="68" t="s">
        <v>71</v>
      </c>
      <c r="B2" s="68"/>
      <c r="C2" s="68"/>
      <c r="D2" s="69" t="s">
        <v>127</v>
      </c>
      <c r="E2" s="69"/>
      <c r="F2" s="69"/>
      <c r="G2" s="68" t="s">
        <v>72</v>
      </c>
      <c r="H2" s="68"/>
      <c r="I2" s="68"/>
      <c r="J2" s="69" t="s">
        <v>50</v>
      </c>
      <c r="K2" s="69"/>
      <c r="L2" s="69"/>
    </row>
    <row r="3" spans="1:17" x14ac:dyDescent="0.3">
      <c r="A3" s="68" t="s">
        <v>73</v>
      </c>
      <c r="B3" s="68"/>
      <c r="C3" s="68"/>
      <c r="D3" s="69" t="s">
        <v>70</v>
      </c>
      <c r="E3" s="69"/>
      <c r="F3" s="69"/>
      <c r="G3" s="68" t="s">
        <v>74</v>
      </c>
      <c r="H3" s="68"/>
      <c r="I3" s="68"/>
      <c r="J3" s="69" t="s">
        <v>52</v>
      </c>
      <c r="K3" s="69"/>
      <c r="L3" s="69"/>
    </row>
    <row r="4" spans="1:17" x14ac:dyDescent="0.3">
      <c r="A4" s="66" t="s">
        <v>75</v>
      </c>
      <c r="B4" s="67" t="s">
        <v>336</v>
      </c>
      <c r="C4" s="67"/>
      <c r="D4" s="67"/>
      <c r="E4" s="67"/>
      <c r="F4" s="67"/>
      <c r="G4" s="67"/>
      <c r="H4" s="67"/>
      <c r="I4" s="67"/>
      <c r="J4" s="67"/>
      <c r="K4" s="67"/>
      <c r="L4" s="67"/>
    </row>
    <row r="5" spans="1:17" x14ac:dyDescent="0.3">
      <c r="A5" s="66"/>
      <c r="B5" s="67"/>
      <c r="C5" s="67"/>
      <c r="D5" s="67"/>
      <c r="E5" s="67"/>
      <c r="F5" s="67"/>
      <c r="G5" s="67"/>
      <c r="H5" s="67"/>
      <c r="I5" s="67"/>
      <c r="J5" s="67"/>
      <c r="K5" s="67"/>
      <c r="L5" s="67"/>
    </row>
    <row r="7" spans="1:17" x14ac:dyDescent="0.3">
      <c r="B7" s="65" t="s">
        <v>76</v>
      </c>
      <c r="C7" s="65"/>
      <c r="D7" s="22" t="s">
        <v>430</v>
      </c>
      <c r="J7" s="19" t="s">
        <v>78</v>
      </c>
      <c r="K7" s="14">
        <v>46045</v>
      </c>
    </row>
    <row r="8" spans="1:17" x14ac:dyDescent="0.3">
      <c r="B8" s="65" t="s">
        <v>77</v>
      </c>
      <c r="C8" s="65"/>
      <c r="D8" s="23" t="s">
        <v>429</v>
      </c>
    </row>
    <row r="10" spans="1:17" ht="40.799999999999997" customHeight="1" x14ac:dyDescent="0.3">
      <c r="A10" s="24" t="s">
        <v>60</v>
      </c>
      <c r="B10" s="73" t="s">
        <v>79</v>
      </c>
      <c r="C10" s="36" t="s">
        <v>80</v>
      </c>
      <c r="D10" s="36" t="s">
        <v>86</v>
      </c>
      <c r="E10" s="36" t="s">
        <v>87</v>
      </c>
      <c r="F10" s="36" t="s">
        <v>88</v>
      </c>
      <c r="G10" s="36" t="s">
        <v>89</v>
      </c>
      <c r="H10" s="36" t="s">
        <v>81</v>
      </c>
      <c r="I10" s="36" t="s">
        <v>82</v>
      </c>
      <c r="J10" s="36" t="s">
        <v>83</v>
      </c>
    </row>
    <row r="11" spans="1:17" ht="60" customHeight="1" x14ac:dyDescent="0.3">
      <c r="A11" s="20">
        <v>1</v>
      </c>
      <c r="B11" s="72" t="s">
        <v>128</v>
      </c>
      <c r="C11" s="20">
        <v>8</v>
      </c>
      <c r="D11" s="20">
        <v>6</v>
      </c>
      <c r="E11" s="20">
        <v>2</v>
      </c>
      <c r="F11" s="20">
        <v>0</v>
      </c>
      <c r="G11" s="20">
        <v>0</v>
      </c>
      <c r="H11" s="20">
        <v>0</v>
      </c>
      <c r="I11" s="20">
        <f>SUM(C11,H11)</f>
        <v>8</v>
      </c>
      <c r="J11" s="21">
        <f>C11/I11</f>
        <v>1</v>
      </c>
    </row>
    <row r="12" spans="1:17" ht="60.6" customHeight="1" x14ac:dyDescent="0.3">
      <c r="A12" s="20">
        <v>2</v>
      </c>
      <c r="B12" s="72" t="s">
        <v>129</v>
      </c>
      <c r="C12" s="20">
        <v>9</v>
      </c>
      <c r="D12" s="20">
        <v>7</v>
      </c>
      <c r="E12" s="20">
        <v>2</v>
      </c>
      <c r="F12" s="20">
        <v>0</v>
      </c>
      <c r="G12" s="20">
        <v>0</v>
      </c>
      <c r="H12" s="20">
        <v>0</v>
      </c>
      <c r="I12" s="20">
        <f t="shared" ref="I12" si="0">SUM(C12,H12)</f>
        <v>9</v>
      </c>
      <c r="J12" s="21">
        <f t="shared" ref="J12" si="1">C12/I12</f>
        <v>1</v>
      </c>
    </row>
    <row r="13" spans="1:17" x14ac:dyDescent="0.3">
      <c r="A13" s="70"/>
      <c r="B13" s="71"/>
      <c r="C13" s="71"/>
      <c r="D13" s="71"/>
      <c r="E13" s="71"/>
      <c r="F13" s="71"/>
      <c r="G13" s="71"/>
      <c r="H13" s="71"/>
      <c r="I13" s="71"/>
      <c r="J13" s="71"/>
      <c r="K13" s="75"/>
      <c r="L13" s="75"/>
    </row>
    <row r="14" spans="1:17" ht="27.6" customHeight="1" x14ac:dyDescent="0.3">
      <c r="A14" s="31" t="s">
        <v>84</v>
      </c>
      <c r="B14" s="74" t="s">
        <v>85</v>
      </c>
      <c r="C14" s="32">
        <f t="shared" ref="C14:I14" si="2">SUM(C11,C12)</f>
        <v>17</v>
      </c>
      <c r="D14" s="31">
        <f t="shared" si="2"/>
        <v>13</v>
      </c>
      <c r="E14" s="31">
        <f t="shared" si="2"/>
        <v>4</v>
      </c>
      <c r="F14" s="35">
        <f t="shared" si="2"/>
        <v>0</v>
      </c>
      <c r="G14" s="35">
        <f t="shared" si="2"/>
        <v>0</v>
      </c>
      <c r="H14" s="35">
        <f t="shared" si="2"/>
        <v>0</v>
      </c>
      <c r="I14" s="35">
        <f t="shared" si="2"/>
        <v>17</v>
      </c>
      <c r="J14" s="33">
        <f>C14/I14</f>
        <v>1</v>
      </c>
    </row>
  </sheetData>
  <mergeCells count="14">
    <mergeCell ref="A13:J13"/>
    <mergeCell ref="A1:Q1"/>
    <mergeCell ref="B7:C7"/>
    <mergeCell ref="B8:C8"/>
    <mergeCell ref="A4:A5"/>
    <mergeCell ref="B4:L5"/>
    <mergeCell ref="A2:C2"/>
    <mergeCell ref="D2:F2"/>
    <mergeCell ref="G2:I2"/>
    <mergeCell ref="J2:L2"/>
    <mergeCell ref="A3:C3"/>
    <mergeCell ref="D3:F3"/>
    <mergeCell ref="G3:I3"/>
    <mergeCell ref="J3:L3"/>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E9BFA-217B-4839-9CCA-F55682407619}">
  <dimension ref="A1:J67"/>
  <sheetViews>
    <sheetView tabSelected="1" topLeftCell="A3" workbookViewId="0">
      <selection activeCell="H17" sqref="H17"/>
    </sheetView>
  </sheetViews>
  <sheetFormatPr defaultRowHeight="15.6" x14ac:dyDescent="0.3"/>
  <cols>
    <col min="1" max="1" width="20.21875" style="19" customWidth="1"/>
    <col min="2" max="2" width="22.6640625" style="19" customWidth="1"/>
    <col min="3" max="3" width="15.88671875" style="19" customWidth="1"/>
    <col min="4" max="4" width="15.77734375" style="19" customWidth="1"/>
    <col min="5" max="5" width="10.21875" style="19" customWidth="1"/>
    <col min="6" max="6" width="23.33203125" style="19" customWidth="1"/>
    <col min="7" max="7" width="24.77734375" style="19" customWidth="1"/>
    <col min="8" max="8" width="22.21875" style="19" customWidth="1"/>
    <col min="9" max="9" width="12.5546875" style="19" customWidth="1"/>
    <col min="10" max="10" width="75.44140625" style="19" customWidth="1"/>
    <col min="11" max="16384" width="8.88671875" style="19"/>
  </cols>
  <sheetData>
    <row r="1" spans="1:10" ht="16.2" thickBot="1" x14ac:dyDescent="0.35">
      <c r="A1" s="51" t="s">
        <v>394</v>
      </c>
      <c r="B1" s="51" t="s">
        <v>395</v>
      </c>
      <c r="C1" s="51" t="s">
        <v>396</v>
      </c>
      <c r="D1" s="51" t="s">
        <v>397</v>
      </c>
      <c r="E1" s="51" t="s">
        <v>398</v>
      </c>
      <c r="F1" s="51" t="s">
        <v>399</v>
      </c>
      <c r="G1" s="51" t="s">
        <v>65</v>
      </c>
      <c r="H1" s="51" t="s">
        <v>15</v>
      </c>
      <c r="I1" s="51" t="s">
        <v>64</v>
      </c>
      <c r="J1" s="51" t="s">
        <v>400</v>
      </c>
    </row>
    <row r="2" spans="1:10" ht="89.4" customHeight="1" thickBot="1" x14ac:dyDescent="0.35">
      <c r="A2" s="50" t="s">
        <v>401</v>
      </c>
      <c r="B2" s="50" t="s">
        <v>402</v>
      </c>
      <c r="C2" s="50" t="s">
        <v>342</v>
      </c>
      <c r="D2" s="50" t="s">
        <v>403</v>
      </c>
      <c r="E2" s="50" t="s">
        <v>404</v>
      </c>
      <c r="F2" s="50" t="s">
        <v>422</v>
      </c>
      <c r="G2" s="50" t="s">
        <v>405</v>
      </c>
      <c r="H2" s="50" t="s">
        <v>406</v>
      </c>
      <c r="I2" s="50" t="s">
        <v>426</v>
      </c>
      <c r="J2" s="50" t="s">
        <v>428</v>
      </c>
    </row>
    <row r="3" spans="1:10" ht="73.2" customHeight="1" thickBot="1" x14ac:dyDescent="0.35">
      <c r="A3" s="50" t="s">
        <v>408</v>
      </c>
      <c r="B3" s="50" t="s">
        <v>409</v>
      </c>
      <c r="C3" s="50" t="s">
        <v>342</v>
      </c>
      <c r="D3" s="50" t="s">
        <v>410</v>
      </c>
      <c r="E3" s="50" t="s">
        <v>404</v>
      </c>
      <c r="F3" s="50" t="s">
        <v>423</v>
      </c>
      <c r="G3" s="50" t="s">
        <v>411</v>
      </c>
      <c r="H3" s="50" t="s">
        <v>412</v>
      </c>
      <c r="I3" s="50" t="s">
        <v>426</v>
      </c>
      <c r="J3" s="50" t="s">
        <v>407</v>
      </c>
    </row>
    <row r="4" spans="1:10" ht="86.4" customHeight="1" thickBot="1" x14ac:dyDescent="0.35">
      <c r="A4" s="50" t="s">
        <v>413</v>
      </c>
      <c r="B4" s="50" t="s">
        <v>414</v>
      </c>
      <c r="C4" s="50" t="s">
        <v>427</v>
      </c>
      <c r="D4" s="50" t="s">
        <v>403</v>
      </c>
      <c r="E4" s="50" t="s">
        <v>404</v>
      </c>
      <c r="F4" s="50" t="s">
        <v>424</v>
      </c>
      <c r="G4" s="50" t="s">
        <v>415</v>
      </c>
      <c r="H4" s="50" t="s">
        <v>416</v>
      </c>
      <c r="I4" s="50" t="s">
        <v>426</v>
      </c>
      <c r="J4" s="50" t="s">
        <v>407</v>
      </c>
    </row>
    <row r="5" spans="1:10" ht="85.2" customHeight="1" thickBot="1" x14ac:dyDescent="0.35">
      <c r="A5" s="50" t="s">
        <v>417</v>
      </c>
      <c r="B5" s="50" t="s">
        <v>418</v>
      </c>
      <c r="C5" s="50" t="s">
        <v>427</v>
      </c>
      <c r="D5" s="50" t="s">
        <v>404</v>
      </c>
      <c r="E5" s="50" t="s">
        <v>419</v>
      </c>
      <c r="F5" s="50" t="s">
        <v>425</v>
      </c>
      <c r="G5" s="50" t="s">
        <v>420</v>
      </c>
      <c r="H5" s="50" t="s">
        <v>421</v>
      </c>
      <c r="I5" s="50" t="s">
        <v>426</v>
      </c>
      <c r="J5" s="50" t="s">
        <v>407</v>
      </c>
    </row>
    <row r="65" spans="1:2" x14ac:dyDescent="0.3">
      <c r="A65" s="76" t="s">
        <v>397</v>
      </c>
      <c r="B65" s="76" t="s">
        <v>508</v>
      </c>
    </row>
    <row r="66" spans="1:2" x14ac:dyDescent="0.3">
      <c r="A66" s="40" t="s">
        <v>410</v>
      </c>
      <c r="B66" s="40">
        <v>1</v>
      </c>
    </row>
    <row r="67" spans="1:2" x14ac:dyDescent="0.3">
      <c r="A67" s="40" t="s">
        <v>403</v>
      </c>
      <c r="B67">
        <v>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 Mục 1</vt:lpstr>
      <vt:lpstr>Mục 2</vt:lpstr>
      <vt:lpstr>Traceability Matrix</vt:lpstr>
      <vt:lpstr>Branch Coverage1</vt:lpstr>
      <vt:lpstr>Branch Coverag2</vt:lpstr>
      <vt:lpstr>Báo cáo tổng kết</vt:lpstr>
      <vt:lpstr>Bug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Kiet Võ</dc:creator>
  <cp:lastModifiedBy>Kiet Võ</cp:lastModifiedBy>
  <dcterms:created xsi:type="dcterms:W3CDTF">2015-06-05T18:17:20Z</dcterms:created>
  <dcterms:modified xsi:type="dcterms:W3CDTF">2026-03-16T16:12:16Z</dcterms:modified>
</cp:coreProperties>
</file>