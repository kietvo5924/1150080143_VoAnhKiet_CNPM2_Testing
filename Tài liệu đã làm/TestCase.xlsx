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oftware-Testing\GK\"/>
    </mc:Choice>
  </mc:AlternateContent>
  <xr:revisionPtr revIDLastSave="0" documentId="13_ncr:1_{C6A3ECA5-8C99-41D9-A972-0170FE31A863}" xr6:coauthVersionLast="47" xr6:coauthVersionMax="47" xr10:uidLastSave="{00000000-0000-0000-0000-000000000000}"/>
  <bookViews>
    <workbookView xWindow="-28920" yWindow="-105" windowWidth="29040" windowHeight="15720" xr2:uid="{40312E8B-982C-45AA-A7D0-B078FCCF7A80}"/>
  </bookViews>
  <sheets>
    <sheet name="FunctionList" sheetId="1" r:id="rId1"/>
    <sheet name="Test Report" sheetId="5" r:id="rId2"/>
    <sheet name="Sheet 1" sheetId="2" r:id="rId3"/>
    <sheet name="Sheet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5" l="1"/>
  <c r="D14" i="5"/>
  <c r="C14" i="5"/>
  <c r="H14" i="5"/>
  <c r="G14" i="5"/>
  <c r="F14" i="5"/>
  <c r="D18" i="5" s="1"/>
  <c r="E14" i="5"/>
  <c r="D19" i="5" l="1"/>
  <c r="D20" i="5"/>
  <c r="D16" i="5"/>
  <c r="D17" i="5"/>
</calcChain>
</file>

<file path=xl/sharedStrings.xml><?xml version="1.0" encoding="utf-8"?>
<sst xmlns="http://schemas.openxmlformats.org/spreadsheetml/2006/main" count="426" uniqueCount="185">
  <si>
    <t>UNIT TEST CASE LIST</t>
  </si>
  <si>
    <t>Description</t>
  </si>
  <si>
    <t>Pre-Condition</t>
  </si>
  <si>
    <t>Passed</t>
  </si>
  <si>
    <t>Failed</t>
  </si>
  <si>
    <t>Untested</t>
  </si>
  <si>
    <t>N</t>
  </si>
  <si>
    <t>A</t>
  </si>
  <si>
    <t>B</t>
  </si>
  <si>
    <t>Sub total</t>
  </si>
  <si>
    <t>Trạng thái</t>
  </si>
  <si>
    <t>Số lượng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</si>
  <si>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</si>
  <si>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</si>
  <si>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</si>
  <si>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</si>
  <si>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</si>
  <si>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</si>
  <si>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</si>
  <si>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</si>
  <si>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O</t>
  </si>
  <si>
    <t>Passed / Failed</t>
  </si>
  <si>
    <t>VP</t>
  </si>
  <si>
    <t>VB</t>
  </si>
  <si>
    <t>IB</t>
  </si>
  <si>
    <t>#</t>
  </si>
  <si>
    <t>Expected result</t>
  </si>
  <si>
    <t>Võ Anh Kiệt</t>
  </si>
  <si>
    <t>Tên Dự Án</t>
  </si>
  <si>
    <t>Mã Dự Án</t>
  </si>
  <si>
    <t>Số lượng Test case chuẩn</t>
  </si>
  <si>
    <t>Mô tả thiết lập môi trường</t>
  </si>
  <si>
    <t>G01</t>
  </si>
  <si>
    <t>STT</t>
  </si>
  <si>
    <t>Tên Yêu Cầu</t>
  </si>
  <si>
    <t>Tên Lớp</t>
  </si>
  <si>
    <t>Tên Hàm</t>
  </si>
  <si>
    <t>Mã Hàm</t>
  </si>
  <si>
    <t>Tên Sheet</t>
  </si>
  <si>
    <t>UT_01</t>
  </si>
  <si>
    <t>UT_02</t>
  </si>
  <si>
    <t>Người Tạo</t>
  </si>
  <si>
    <t>Người Thực Hiện</t>
  </si>
  <si>
    <t>Thiếu test case</t>
  </si>
  <si>
    <t>Số dòng code</t>
  </si>
  <si>
    <t>Yêu cầu kiểm thử</t>
  </si>
  <si>
    <t>Đạt</t>
  </si>
  <si>
    <t>Lỗi</t>
  </si>
  <si>
    <t>Chưa test</t>
  </si>
  <si>
    <t>Tổng Test Cases</t>
  </si>
  <si>
    <t>Điều kiện</t>
  </si>
  <si>
    <t>Xác nhận</t>
  </si>
  <si>
    <t>Trả về</t>
  </si>
  <si>
    <t>Kết quả</t>
  </si>
  <si>
    <t>Loại (N : Bình thường, A : Bất thường, B : Ranh giới)</t>
  </si>
  <si>
    <t>Ngày thực hiện</t>
  </si>
  <si>
    <t>Mã lỗi</t>
  </si>
  <si>
    <t>Pass</t>
  </si>
  <si>
    <t>Fail</t>
  </si>
  <si>
    <t>Loại kiểm thử</t>
  </si>
  <si>
    <t>Đầu vào: Họ tên</t>
  </si>
  <si>
    <t>Đầu vào: Email</t>
  </si>
  <si>
    <t>VP (Vùng hợp lệ)</t>
  </si>
  <si>
    <t>IP (Vùng không hợp lệ)</t>
  </si>
  <si>
    <t>VB (Biên hợp lệ)</t>
  </si>
  <si>
    <t>IB (Biên không hợp lệ)</t>
  </si>
  <si>
    <t>Phạm Trọng Huynh</t>
  </si>
  <si>
    <t>Mã Tài Liệu</t>
  </si>
  <si>
    <t>Ghi chú</t>
  </si>
  <si>
    <t>Người Duyệt</t>
  </si>
  <si>
    <t>Ngày Phát Hành</t>
  </si>
  <si>
    <t>Mã Chức Năng</t>
  </si>
  <si>
    <t>Độ bao phủ kiểm thử</t>
  </si>
  <si>
    <t>Tỷ lệ thành công</t>
  </si>
  <si>
    <t>Tỷ lệ Case Bình thường</t>
  </si>
  <si>
    <t>Tỷ lệ Case Bất thường</t>
  </si>
  <si>
    <t>Tỷ lệ Case Biên</t>
  </si>
  <si>
    <t>Hệ thống OrderService</t>
  </si>
  <si>
    <t>JUnit 5, JaCoCo, IntelliJ IDEA</t>
  </si>
  <si>
    <t>OrderService</t>
  </si>
  <si>
    <t>calculateDiscount</t>
  </si>
  <si>
    <t>calculateShippingFee</t>
  </si>
  <si>
    <t>Sheet 1</t>
  </si>
  <si>
    <t>Sheet 2</t>
  </si>
  <si>
    <t>Lớp OrderService đã khởi tạo</t>
  </si>
  <si>
    <t>Kiểm thử logic rẽ nhánh tính giảm giá (Ngoại lệ, Ngưỡng 1000, Khách VIP)</t>
  </si>
  <si>
    <t>Số tiền (amount)</t>
  </si>
  <si>
    <t>Khách VIP (isVip)</t>
  </si>
  <si>
    <t>0.0</t>
  </si>
  <si>
    <t>300.0</t>
  </si>
  <si>
    <t>Số tiền</t>
  </si>
  <si>
    <t>&gt; 0</t>
  </si>
  <si>
    <t>Khách VIP</t>
  </si>
  <si>
    <t>true, false</t>
  </si>
  <si>
    <t>Trả về 0.0 (Không giảm giá)</t>
  </si>
  <si>
    <t>UTCID08</t>
  </si>
  <si>
    <t>Khoảng cách</t>
  </si>
  <si>
    <t>Cân nặng</t>
  </si>
  <si>
    <t>Giao tốc hành</t>
  </si>
  <si>
    <t>15000.0</t>
  </si>
  <si>
    <t>35000.0</t>
  </si>
  <si>
    <t>&lt; 0</t>
  </si>
  <si>
    <t>G01_TestReport_v1</t>
  </si>
  <si>
    <t>Tổng hợp kết quả kiểm thử hộp trắng cho module OrderService. Ghi nhận 4 lỗi logic phục vụ cho Verification.</t>
  </si>
  <si>
    <t>Tính Giảm Giá (Sheet 1)</t>
  </si>
  <si>
    <t>Tính Vận Chuyển (Sheet 2)</t>
  </si>
  <si>
    <t>25.0</t>
  </si>
  <si>
    <t>100.0</t>
  </si>
  <si>
    <t>Ném Exception</t>
  </si>
  <si>
    <t>10.0</t>
  </si>
  <si>
    <t>1000.0</t>
  </si>
  <si>
    <t>BUG-01</t>
  </si>
  <si>
    <t>BUG-02</t>
  </si>
  <si>
    <t>≤ 0</t>
  </si>
  <si>
    <t>100, 500, 1000, 5000</t>
  </si>
  <si>
    <t>Không có</t>
  </si>
  <si>
    <r>
      <t xml:space="preserve">Ném ngoại lệ </t>
    </r>
    <r>
      <rPr>
        <sz val="10"/>
        <color theme="1"/>
        <rFont val="Arial Unicode MS"/>
      </rPr>
      <t>IllegalArgumentException</t>
    </r>
  </si>
  <si>
    <t>Trả về 25.0 (Giảm 5% VIP)</t>
  </si>
  <si>
    <t>Trả về 100.0 (Giảm 10%)</t>
  </si>
  <si>
    <t>Trả về 300.0 (10% + 5% VIP)</t>
  </si>
  <si>
    <t>Trả về 1000.0 (Giảm 20%)</t>
  </si>
  <si>
    <t>Trả về 10.0 (Giảm cố định)</t>
  </si>
  <si>
    <t>Trả về 1000.0 (Chặn mức giảm tối đa)</t>
  </si>
  <si>
    <t>Kiểm thử 100% luồng rẽ nhánh tính phí vận chuyển (Bao phủ CC = 9 theo đồ thị CFG)</t>
  </si>
  <si>
    <t>40000.0</t>
  </si>
  <si>
    <t>295000.0</t>
  </si>
  <si>
    <t>65000.0</t>
  </si>
  <si>
    <t>135000.0</t>
  </si>
  <si>
    <t>0.0 (Freeship)</t>
  </si>
  <si>
    <t>UTCID09</t>
  </si>
  <si>
    <t>BUG-03</t>
  </si>
  <si>
    <t>BUG-04</t>
  </si>
  <si>
    <t>Khoảng cách (km)</t>
  </si>
  <si>
    <t>10, 50</t>
  </si>
  <si>
    <t>Cân nặng (kg)</t>
  </si>
  <si>
    <t>5, 10</t>
  </si>
  <si>
    <t>Giao Tốc hành</t>
  </si>
  <si>
    <t>Bắt lỗi số tiền âm</t>
  </si>
  <si>
    <t>Kiểm thử ngoại lệ IllegalArgumentException khi số tiền &lt;= 0</t>
  </si>
  <si>
    <t>Đơn nhỏ, không VIP</t>
  </si>
  <si>
    <t>Kiểm thử không giảm giá (0.0) cho đơn hàng chưa đạt ngưỡng</t>
  </si>
  <si>
    <t>amount = 500, isVip = false</t>
  </si>
  <si>
    <t>Đơn nhỏ, khách VIP</t>
  </si>
  <si>
    <t>Kiểm thử chỉ áp dụng mã giảm 5% cho khách VIP</t>
  </si>
  <si>
    <t>amount = 500, isVip = true</t>
  </si>
  <si>
    <t>Đạt ngưỡng 10%</t>
  </si>
  <si>
    <t>Kiểm thử giảm 10% cơ bản cho đơn hàng &gt;= 1000</t>
  </si>
  <si>
    <t>amount = 1000, isVip = false</t>
  </si>
  <si>
    <t>Đơn lớn, khách VIP</t>
  </si>
  <si>
    <t>Kiểm thử cộng dồn ưu đãi giảm 10% cơ bản + 5% VIP</t>
  </si>
  <si>
    <t>amount = 2000, isVip = true</t>
  </si>
  <si>
    <t>Đạt ngưỡng 20%</t>
  </si>
  <si>
    <t>Kiểm thử giảm 20% cho đơn hàng siêu lớn (&gt;= 5000)</t>
  </si>
  <si>
    <t>amount = 5000, isVip = false</t>
  </si>
  <si>
    <t>TEST BUG 1 (Giảm cố định)</t>
  </si>
  <si>
    <t>Kiểm thử luồng giảm cố định 10k (Bắt lỗi code gõ nhầm 100k)</t>
  </si>
  <si>
    <t>amount = 300, isVip = false</t>
  </si>
  <si>
    <t>TEST BUG 2 (Chặn max trần)</t>
  </si>
  <si>
    <t>Kiểm thử chặn mức giảm tối đa ở 1000 (Bắt lỗi code gán nhầm 10000)</t>
  </si>
  <si>
    <t>amount = 6000, isVip = false</t>
  </si>
  <si>
    <t>Bắt lỗi khoảng cách âm</t>
  </si>
  <si>
    <t>Kiểm thử ngoại lệ IllegalArgumentException khi km &lt; 0</t>
  </si>
  <si>
    <t>Bắt lỗi cân nặng âm</t>
  </si>
  <si>
    <t>Kiểm thử ngoại lệ IllegalArgumentException khi kg &lt; 0</t>
  </si>
  <si>
    <t>Phí ship cơ bản</t>
  </si>
  <si>
    <t>Kiểm thử chỉ thu 15k phí cơ bản, chạm biên không phụ thu</t>
  </si>
  <si>
    <t>distance = 10, weight = 5, express = F</t>
  </si>
  <si>
    <t>Phụ thu đi xa mức 1</t>
  </si>
  <si>
    <t>Kiểm thử cộng thêm phí mỗi km vượt cho khoảng cách &gt; 10</t>
  </si>
  <si>
    <t>distance = 15, weight = 2, express = F</t>
  </si>
  <si>
    <t>Phụ thu đi cực xa mức 2</t>
  </si>
  <si>
    <t>Kiểm thử cộng thêm phí phạt nặng cho khoảng cách &gt; 50</t>
  </si>
  <si>
    <t>distance = 60, weight = 2, express = F</t>
  </si>
  <si>
    <t>Phụ thu cực nặng mức 2</t>
  </si>
  <si>
    <t>Kiểm thử cộng 50k phí cồng kềnh cho cân nặng &gt; 10</t>
  </si>
  <si>
    <t>distance = 5, weight = 12, express = F</t>
  </si>
  <si>
    <t>Nhân hệ số Tốc hành</t>
  </si>
  <si>
    <t>Kiểm thử tổng hợp các loại phí và nhân đôi (x1.5) do giao nhanh</t>
  </si>
  <si>
    <t>distance = 15, weight = 12, express = T</t>
  </si>
  <si>
    <t>TEST BUG 3 (Hàng nặng 1)</t>
  </si>
  <si>
    <t>Kiểm thử phụ thu 20k cho kg &gt; 5 (Bắt lỗi code cộng dư 200k)</t>
  </si>
  <si>
    <t>distance = 5, weight = 8, express = F</t>
  </si>
  <si>
    <t>TEST BUG 4 (Freeship)</t>
  </si>
  <si>
    <t>Kiểm thử vô hiệu hóa phí nếu tổng &gt; 500k (Bắt lỗi code gán fee=50k)</t>
  </si>
  <si>
    <t>distance = 100, weight = 2, express =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</si>
</sst>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3"/>
      <scheme val="minor"/>
    </font>
    <font>
      <b/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rgb="FF1F1F1F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0" xfId="0" applyFont="1" applyAlignment="1">
      <alignment vertical="center"/>
    </xf>
    <xf numFmtId="0" fontId="6" fillId="0" borderId="4" xfId="0" applyFont="1" applyBorder="1" applyAlignment="1"/>
    <xf numFmtId="0" fontId="6" fillId="0" borderId="1" xfId="0" applyFont="1" applyBorder="1" applyAlignment="1"/>
    <xf numFmtId="0" fontId="7" fillId="0" borderId="0" xfId="0" applyFont="1" applyAlignment="1">
      <alignment horizontal="center" vertical="center"/>
    </xf>
    <xf numFmtId="0" fontId="8" fillId="2" borderId="1" xfId="0" applyFont="1" applyFill="1" applyBorder="1"/>
    <xf numFmtId="0" fontId="6" fillId="0" borderId="0" xfId="0" applyFont="1"/>
    <xf numFmtId="9" fontId="7" fillId="0" borderId="0" xfId="0" applyNumberFormat="1" applyFont="1"/>
    <xf numFmtId="0" fontId="5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5" fillId="2" borderId="3" xfId="0" applyFont="1" applyFill="1" applyBorder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13" xfId="0" applyFont="1" applyFill="1" applyBorder="1"/>
    <xf numFmtId="0" fontId="5" fillId="2" borderId="14" xfId="0" applyFont="1" applyFill="1" applyBorder="1"/>
    <xf numFmtId="0" fontId="5" fillId="2" borderId="5" xfId="0" applyFont="1" applyFill="1" applyBorder="1"/>
    <xf numFmtId="0" fontId="3" fillId="0" borderId="3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top" textRotation="180"/>
    </xf>
    <xf numFmtId="0" fontId="5" fillId="2" borderId="16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0" fillId="0" borderId="2" xfId="0" applyBorder="1"/>
    <xf numFmtId="0" fontId="12" fillId="0" borderId="0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9" fontId="6" fillId="0" borderId="0" xfId="1" applyFont="1" applyAlignment="1">
      <alignment horizontal="left"/>
    </xf>
    <xf numFmtId="0" fontId="5" fillId="2" borderId="0" xfId="0" applyFont="1" applyFill="1" applyBorder="1"/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3" fillId="0" borderId="1" xfId="0" applyFont="1" applyFill="1" applyBorder="1" applyAlignment="1">
      <alignment horizontal="right"/>
    </xf>
    <xf numFmtId="0" fontId="11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3" fillId="0" borderId="4" xfId="0" applyFont="1" applyFill="1" applyBorder="1" applyAlignment="1">
      <alignment horizontal="right"/>
    </xf>
    <xf numFmtId="0" fontId="13" fillId="0" borderId="6" xfId="0" applyFont="1" applyFill="1" applyBorder="1" applyAlignment="1">
      <alignment horizontal="right"/>
    </xf>
    <xf numFmtId="0" fontId="13" fillId="0" borderId="7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Passed Percent</a:t>
            </a:r>
            <a:endParaRPr lang="vi-VN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Report'!$AN$4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58-4FC9-803B-8862CD5C8B6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58-4FC9-803B-8862CD5C8B6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58-4FC9-803B-8862CD5C8B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Report'!$AM$5:$AM$7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Report'!$AN$5:$AN$7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120-B513-3D141B257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Test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Type</a:t>
            </a:r>
            <a:endParaRPr lang="vi-VN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F-4772-899D-D881E3A9817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F-4772-899D-D881E3A9817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F-4772-899D-D881E3A98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Report'!$AP$4:$AP$6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Report'!$AQ$4:$AQ$6</c:f>
              <c:numCache>
                <c:formatCode>General</c:formatCode>
                <c:ptCount val="3"/>
                <c:pt idx="0">
                  <c:v>30</c:v>
                </c:pt>
                <c:pt idx="1">
                  <c:v>17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5-46BA-B5A4-EBAB3CCE1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28</xdr:row>
      <xdr:rowOff>9525</xdr:rowOff>
    </xdr:from>
    <xdr:to>
      <xdr:col>3</xdr:col>
      <xdr:colOff>1323975</xdr:colOff>
      <xdr:row>41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1505B1-8D39-D109-BB06-596228AFC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812425</xdr:colOff>
      <xdr:row>28</xdr:row>
      <xdr:rowOff>1120</xdr:rowOff>
    </xdr:from>
    <xdr:to>
      <xdr:col>9</xdr:col>
      <xdr:colOff>644337</xdr:colOff>
      <xdr:row>40</xdr:row>
      <xdr:rowOff>189379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AED9AD-1335-1FF6-CABA-AF08F1F0F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0D8B-FF42-45F3-BA32-DA1FB216F25F}">
  <dimension ref="A1:J27"/>
  <sheetViews>
    <sheetView tabSelected="1" zoomScaleNormal="100" workbookViewId="0">
      <selection activeCell="K14" sqref="K14"/>
    </sheetView>
  </sheetViews>
  <sheetFormatPr defaultColWidth="9" defaultRowHeight="17.399999999999999"/>
  <cols>
    <col min="1" max="1" width="9" style="3"/>
    <col min="2" max="2" width="18.77734375" style="3" customWidth="1"/>
    <col min="3" max="3" width="16.77734375" style="3" customWidth="1"/>
    <col min="4" max="4" width="20.44140625" style="3" customWidth="1"/>
    <col min="5" max="5" width="27.44140625" style="3" customWidth="1"/>
    <col min="6" max="6" width="14.21875" style="3" customWidth="1"/>
    <col min="7" max="7" width="33.44140625" style="3" customWidth="1"/>
    <col min="8" max="8" width="34.88671875" style="3" customWidth="1"/>
    <col min="9" max="16384" width="9" style="3"/>
  </cols>
  <sheetData>
    <row r="1" spans="1:10" ht="16.5" customHeight="1">
      <c r="A1" s="40" t="s">
        <v>0</v>
      </c>
      <c r="B1" s="40"/>
      <c r="C1" s="40"/>
      <c r="D1" s="40"/>
      <c r="E1" s="40"/>
      <c r="F1" s="40"/>
      <c r="G1" s="40"/>
      <c r="H1" s="40"/>
      <c r="I1" s="6"/>
      <c r="J1" s="6"/>
    </row>
    <row r="2" spans="1:10">
      <c r="A2" s="40"/>
      <c r="B2" s="40"/>
      <c r="C2" s="40"/>
      <c r="D2" s="40"/>
      <c r="E2" s="40"/>
      <c r="F2" s="40"/>
      <c r="G2" s="40"/>
      <c r="H2" s="40"/>
      <c r="I2" s="6"/>
      <c r="J2" s="6"/>
    </row>
    <row r="3" spans="1:10">
      <c r="A3" s="41"/>
      <c r="B3" s="41"/>
      <c r="C3" s="41"/>
      <c r="D3" s="41"/>
      <c r="E3" s="41"/>
      <c r="F3" s="41"/>
      <c r="G3" s="41"/>
      <c r="H3" s="41"/>
      <c r="I3" s="6"/>
      <c r="J3" s="6"/>
    </row>
    <row r="4" spans="1:10">
      <c r="A4" s="42" t="s">
        <v>28</v>
      </c>
      <c r="B4" s="43"/>
      <c r="C4" s="43"/>
      <c r="D4" s="43"/>
      <c r="E4" s="44" t="s">
        <v>77</v>
      </c>
      <c r="F4" s="45"/>
      <c r="G4" s="45"/>
      <c r="H4" s="46"/>
    </row>
    <row r="5" spans="1:10">
      <c r="A5" s="42" t="s">
        <v>29</v>
      </c>
      <c r="B5" s="43"/>
      <c r="C5" s="43"/>
      <c r="D5" s="43"/>
      <c r="E5" s="44" t="s">
        <v>32</v>
      </c>
      <c r="F5" s="45"/>
      <c r="G5" s="45"/>
      <c r="H5" s="46"/>
    </row>
    <row r="6" spans="1:10">
      <c r="A6" s="42" t="s">
        <v>30</v>
      </c>
      <c r="B6" s="43"/>
      <c r="C6" s="43"/>
      <c r="D6" s="43"/>
      <c r="E6" s="47">
        <v>17</v>
      </c>
      <c r="F6" s="48"/>
      <c r="G6" s="48"/>
      <c r="H6" s="49"/>
    </row>
    <row r="7" spans="1:10">
      <c r="A7" s="42" t="s">
        <v>31</v>
      </c>
      <c r="B7" s="43"/>
      <c r="C7" s="43"/>
      <c r="D7" s="43"/>
      <c r="E7" s="47" t="s">
        <v>78</v>
      </c>
      <c r="F7" s="48"/>
      <c r="G7" s="48"/>
      <c r="H7" s="49"/>
    </row>
    <row r="10" spans="1:10" ht="36.75" customHeight="1">
      <c r="A10" s="27" t="s">
        <v>33</v>
      </c>
      <c r="B10" s="27" t="s">
        <v>34</v>
      </c>
      <c r="C10" s="27" t="s">
        <v>35</v>
      </c>
      <c r="D10" s="27" t="s">
        <v>36</v>
      </c>
      <c r="E10" s="27" t="s">
        <v>37</v>
      </c>
      <c r="F10" s="27" t="s">
        <v>38</v>
      </c>
      <c r="G10" s="27" t="s">
        <v>1</v>
      </c>
      <c r="H10" s="27" t="s">
        <v>2</v>
      </c>
    </row>
    <row r="11" spans="1:10" ht="43.2">
      <c r="A11" s="38">
        <v>1</v>
      </c>
      <c r="B11" s="39" t="s">
        <v>137</v>
      </c>
      <c r="C11" s="38" t="s">
        <v>79</v>
      </c>
      <c r="D11" s="38" t="s">
        <v>80</v>
      </c>
      <c r="E11" s="38" t="s">
        <v>39</v>
      </c>
      <c r="F11" s="38" t="s">
        <v>82</v>
      </c>
      <c r="G11" s="39" t="s">
        <v>138</v>
      </c>
      <c r="H11" s="38" t="s">
        <v>84</v>
      </c>
    </row>
    <row r="12" spans="1:10" ht="28.8">
      <c r="A12" s="38">
        <v>2</v>
      </c>
      <c r="B12" s="39" t="s">
        <v>139</v>
      </c>
      <c r="C12" s="38" t="s">
        <v>79</v>
      </c>
      <c r="D12" s="38" t="s">
        <v>80</v>
      </c>
      <c r="E12" s="38" t="s">
        <v>39</v>
      </c>
      <c r="F12" s="38" t="s">
        <v>82</v>
      </c>
      <c r="G12" s="39" t="s">
        <v>140</v>
      </c>
      <c r="H12" s="38" t="s">
        <v>141</v>
      </c>
    </row>
    <row r="13" spans="1:10" ht="28.8">
      <c r="A13" s="38">
        <v>3</v>
      </c>
      <c r="B13" s="39" t="s">
        <v>142</v>
      </c>
      <c r="C13" s="38" t="s">
        <v>79</v>
      </c>
      <c r="D13" s="38" t="s">
        <v>80</v>
      </c>
      <c r="E13" s="38" t="s">
        <v>39</v>
      </c>
      <c r="F13" s="38" t="s">
        <v>82</v>
      </c>
      <c r="G13" s="39" t="s">
        <v>143</v>
      </c>
      <c r="H13" s="38" t="s">
        <v>144</v>
      </c>
    </row>
    <row r="14" spans="1:10" ht="28.8">
      <c r="A14" s="38">
        <v>4</v>
      </c>
      <c r="B14" s="39" t="s">
        <v>145</v>
      </c>
      <c r="C14" s="38" t="s">
        <v>79</v>
      </c>
      <c r="D14" s="38" t="s">
        <v>80</v>
      </c>
      <c r="E14" s="38" t="s">
        <v>39</v>
      </c>
      <c r="F14" s="38" t="s">
        <v>82</v>
      </c>
      <c r="G14" s="39" t="s">
        <v>146</v>
      </c>
      <c r="H14" s="38" t="s">
        <v>147</v>
      </c>
    </row>
    <row r="15" spans="1:10" ht="28.8">
      <c r="A15" s="38">
        <v>5</v>
      </c>
      <c r="B15" s="39" t="s">
        <v>148</v>
      </c>
      <c r="C15" s="38" t="s">
        <v>79</v>
      </c>
      <c r="D15" s="38" t="s">
        <v>80</v>
      </c>
      <c r="E15" s="38" t="s">
        <v>39</v>
      </c>
      <c r="F15" s="38" t="s">
        <v>82</v>
      </c>
      <c r="G15" s="39" t="s">
        <v>149</v>
      </c>
      <c r="H15" s="38" t="s">
        <v>150</v>
      </c>
    </row>
    <row r="16" spans="1:10" ht="28.8">
      <c r="A16" s="38">
        <v>6</v>
      </c>
      <c r="B16" s="39" t="s">
        <v>151</v>
      </c>
      <c r="C16" s="38" t="s">
        <v>79</v>
      </c>
      <c r="D16" s="38" t="s">
        <v>80</v>
      </c>
      <c r="E16" s="38" t="s">
        <v>39</v>
      </c>
      <c r="F16" s="38" t="s">
        <v>82</v>
      </c>
      <c r="G16" s="39" t="s">
        <v>152</v>
      </c>
      <c r="H16" s="38" t="s">
        <v>153</v>
      </c>
    </row>
    <row r="17" spans="1:8" ht="28.8">
      <c r="A17" s="38">
        <v>7</v>
      </c>
      <c r="B17" s="39" t="s">
        <v>154</v>
      </c>
      <c r="C17" s="38" t="s">
        <v>79</v>
      </c>
      <c r="D17" s="38" t="s">
        <v>80</v>
      </c>
      <c r="E17" s="38" t="s">
        <v>39</v>
      </c>
      <c r="F17" s="38" t="s">
        <v>82</v>
      </c>
      <c r="G17" s="39" t="s">
        <v>155</v>
      </c>
      <c r="H17" s="38" t="s">
        <v>156</v>
      </c>
    </row>
    <row r="18" spans="1:8" ht="28.8">
      <c r="A18" s="38">
        <v>8</v>
      </c>
      <c r="B18" s="39" t="s">
        <v>157</v>
      </c>
      <c r="C18" s="38" t="s">
        <v>79</v>
      </c>
      <c r="D18" s="38" t="s">
        <v>80</v>
      </c>
      <c r="E18" s="38" t="s">
        <v>39</v>
      </c>
      <c r="F18" s="38" t="s">
        <v>82</v>
      </c>
      <c r="G18" s="39" t="s">
        <v>158</v>
      </c>
      <c r="H18" s="38" t="s">
        <v>159</v>
      </c>
    </row>
    <row r="19" spans="1:8" ht="28.8">
      <c r="A19" s="38">
        <v>9</v>
      </c>
      <c r="B19" s="39" t="s">
        <v>160</v>
      </c>
      <c r="C19" s="38" t="s">
        <v>79</v>
      </c>
      <c r="D19" s="38" t="s">
        <v>81</v>
      </c>
      <c r="E19" s="38" t="s">
        <v>40</v>
      </c>
      <c r="F19" s="38" t="s">
        <v>83</v>
      </c>
      <c r="G19" s="39" t="s">
        <v>161</v>
      </c>
      <c r="H19" s="38" t="s">
        <v>84</v>
      </c>
    </row>
    <row r="20" spans="1:8" ht="28.8">
      <c r="A20" s="38">
        <v>10</v>
      </c>
      <c r="B20" s="39" t="s">
        <v>162</v>
      </c>
      <c r="C20" s="38" t="s">
        <v>79</v>
      </c>
      <c r="D20" s="38" t="s">
        <v>81</v>
      </c>
      <c r="E20" s="38" t="s">
        <v>40</v>
      </c>
      <c r="F20" s="38" t="s">
        <v>83</v>
      </c>
      <c r="G20" s="39" t="s">
        <v>163</v>
      </c>
      <c r="H20" s="38" t="s">
        <v>84</v>
      </c>
    </row>
    <row r="21" spans="1:8" ht="28.8">
      <c r="A21" s="38">
        <v>11</v>
      </c>
      <c r="B21" s="39" t="s">
        <v>164</v>
      </c>
      <c r="C21" s="38" t="s">
        <v>79</v>
      </c>
      <c r="D21" s="38" t="s">
        <v>81</v>
      </c>
      <c r="E21" s="38" t="s">
        <v>40</v>
      </c>
      <c r="F21" s="38" t="s">
        <v>83</v>
      </c>
      <c r="G21" s="39" t="s">
        <v>165</v>
      </c>
      <c r="H21" s="38" t="s">
        <v>166</v>
      </c>
    </row>
    <row r="22" spans="1:8" ht="28.8">
      <c r="A22" s="38">
        <v>12</v>
      </c>
      <c r="B22" s="39" t="s">
        <v>167</v>
      </c>
      <c r="C22" s="38" t="s">
        <v>79</v>
      </c>
      <c r="D22" s="38" t="s">
        <v>81</v>
      </c>
      <c r="E22" s="38" t="s">
        <v>40</v>
      </c>
      <c r="F22" s="38" t="s">
        <v>83</v>
      </c>
      <c r="G22" s="39" t="s">
        <v>168</v>
      </c>
      <c r="H22" s="38" t="s">
        <v>169</v>
      </c>
    </row>
    <row r="23" spans="1:8" ht="28.8">
      <c r="A23" s="38">
        <v>13</v>
      </c>
      <c r="B23" s="39" t="s">
        <v>170</v>
      </c>
      <c r="C23" s="38" t="s">
        <v>79</v>
      </c>
      <c r="D23" s="38" t="s">
        <v>81</v>
      </c>
      <c r="E23" s="38" t="s">
        <v>40</v>
      </c>
      <c r="F23" s="38" t="s">
        <v>83</v>
      </c>
      <c r="G23" s="39" t="s">
        <v>171</v>
      </c>
      <c r="H23" s="38" t="s">
        <v>172</v>
      </c>
    </row>
    <row r="24" spans="1:8" ht="28.8">
      <c r="A24" s="38">
        <v>14</v>
      </c>
      <c r="B24" s="39" t="s">
        <v>173</v>
      </c>
      <c r="C24" s="38" t="s">
        <v>79</v>
      </c>
      <c r="D24" s="38" t="s">
        <v>81</v>
      </c>
      <c r="E24" s="38" t="s">
        <v>40</v>
      </c>
      <c r="F24" s="38" t="s">
        <v>83</v>
      </c>
      <c r="G24" s="39" t="s">
        <v>174</v>
      </c>
      <c r="H24" s="38" t="s">
        <v>175</v>
      </c>
    </row>
    <row r="25" spans="1:8" ht="28.8">
      <c r="A25" s="38">
        <v>15</v>
      </c>
      <c r="B25" s="39" t="s">
        <v>176</v>
      </c>
      <c r="C25" s="38" t="s">
        <v>79</v>
      </c>
      <c r="D25" s="38" t="s">
        <v>81</v>
      </c>
      <c r="E25" s="38" t="s">
        <v>40</v>
      </c>
      <c r="F25" s="38" t="s">
        <v>83</v>
      </c>
      <c r="G25" s="39" t="s">
        <v>177</v>
      </c>
      <c r="H25" s="38" t="s">
        <v>178</v>
      </c>
    </row>
    <row r="26" spans="1:8" ht="28.8">
      <c r="A26" s="38">
        <v>16</v>
      </c>
      <c r="B26" s="39" t="s">
        <v>179</v>
      </c>
      <c r="C26" s="38" t="s">
        <v>79</v>
      </c>
      <c r="D26" s="38" t="s">
        <v>81</v>
      </c>
      <c r="E26" s="38" t="s">
        <v>40</v>
      </c>
      <c r="F26" s="38" t="s">
        <v>83</v>
      </c>
      <c r="G26" s="39" t="s">
        <v>180</v>
      </c>
      <c r="H26" s="38" t="s">
        <v>181</v>
      </c>
    </row>
    <row r="27" spans="1:8" ht="28.8">
      <c r="A27" s="38">
        <v>17</v>
      </c>
      <c r="B27" s="39" t="s">
        <v>182</v>
      </c>
      <c r="C27" s="38" t="s">
        <v>79</v>
      </c>
      <c r="D27" s="38" t="s">
        <v>81</v>
      </c>
      <c r="E27" s="38" t="s">
        <v>40</v>
      </c>
      <c r="F27" s="38" t="s">
        <v>83</v>
      </c>
      <c r="G27" s="39" t="s">
        <v>183</v>
      </c>
      <c r="H27" s="38" t="s">
        <v>184</v>
      </c>
    </row>
  </sheetData>
  <mergeCells count="9">
    <mergeCell ref="A1:H3"/>
    <mergeCell ref="A4:D4"/>
    <mergeCell ref="A5:D5"/>
    <mergeCell ref="A6:D6"/>
    <mergeCell ref="A7:D7"/>
    <mergeCell ref="E4:H4"/>
    <mergeCell ref="E5:H5"/>
    <mergeCell ref="E6:H6"/>
    <mergeCell ref="E7:H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0FCA-EA3F-47DE-AB7B-1037D4586740}">
  <dimension ref="A1:AQ20"/>
  <sheetViews>
    <sheetView zoomScale="85" zoomScaleNormal="85" workbookViewId="0">
      <selection activeCell="F26" sqref="F26"/>
    </sheetView>
  </sheetViews>
  <sheetFormatPr defaultColWidth="9" defaultRowHeight="17.399999999999999"/>
  <cols>
    <col min="1" max="1" width="18.21875" style="3" customWidth="1"/>
    <col min="2" max="2" width="27.5546875" style="3" customWidth="1"/>
    <col min="3" max="3" width="16.77734375" style="3" customWidth="1"/>
    <col min="4" max="4" width="18.21875" style="3" customWidth="1"/>
    <col min="5" max="5" width="16.44140625" style="3" customWidth="1"/>
    <col min="6" max="6" width="9" style="3" customWidth="1"/>
    <col min="7" max="7" width="9.21875" style="3" customWidth="1"/>
    <col min="8" max="8" width="8.88671875" style="3" customWidth="1"/>
    <col min="9" max="9" width="18.6640625" style="3" customWidth="1"/>
    <col min="10" max="16384" width="9" style="3"/>
  </cols>
  <sheetData>
    <row r="1" spans="1:43" ht="16.5" customHeight="1">
      <c r="A1" s="40" t="s">
        <v>0</v>
      </c>
      <c r="B1" s="40"/>
      <c r="C1" s="40"/>
      <c r="D1" s="40"/>
      <c r="E1" s="40"/>
      <c r="F1" s="40"/>
      <c r="G1" s="40"/>
      <c r="H1" s="40"/>
      <c r="I1" s="6"/>
      <c r="J1" s="6"/>
    </row>
    <row r="2" spans="1:43">
      <c r="A2" s="40"/>
      <c r="B2" s="40"/>
      <c r="C2" s="40"/>
      <c r="D2" s="40"/>
      <c r="E2" s="40"/>
      <c r="F2" s="40"/>
      <c r="G2" s="40"/>
      <c r="H2" s="40"/>
      <c r="I2" s="6"/>
      <c r="J2" s="6"/>
    </row>
    <row r="3" spans="1:43">
      <c r="A3" s="41"/>
      <c r="B3" s="41"/>
      <c r="C3" s="41"/>
      <c r="D3" s="41"/>
      <c r="E3" s="41"/>
      <c r="F3" s="51"/>
      <c r="G3" s="51"/>
      <c r="H3" s="51"/>
      <c r="I3" s="6"/>
      <c r="J3" s="6"/>
    </row>
    <row r="4" spans="1:43">
      <c r="A4" s="7" t="s">
        <v>28</v>
      </c>
      <c r="B4" s="52" t="s">
        <v>77</v>
      </c>
      <c r="C4" s="53"/>
      <c r="D4" s="54" t="s">
        <v>41</v>
      </c>
      <c r="E4" s="55"/>
      <c r="F4" s="50" t="s">
        <v>27</v>
      </c>
      <c r="G4" s="50"/>
      <c r="H4" s="50"/>
      <c r="I4" s="50"/>
      <c r="AM4" s="24" t="s">
        <v>10</v>
      </c>
      <c r="AN4" s="24" t="s">
        <v>11</v>
      </c>
      <c r="AP4" s="5" t="s">
        <v>6</v>
      </c>
      <c r="AQ4" s="5">
        <v>30</v>
      </c>
    </row>
    <row r="5" spans="1:43">
      <c r="A5" s="7" t="s">
        <v>29</v>
      </c>
      <c r="B5" s="52" t="s">
        <v>32</v>
      </c>
      <c r="C5" s="43"/>
      <c r="D5" s="56" t="s">
        <v>69</v>
      </c>
      <c r="E5" s="56"/>
      <c r="F5" s="50" t="s">
        <v>66</v>
      </c>
      <c r="G5" s="50"/>
      <c r="H5" s="50"/>
      <c r="I5" s="50"/>
      <c r="AM5" s="25" t="s">
        <v>3</v>
      </c>
      <c r="AN5" s="25">
        <v>0</v>
      </c>
      <c r="AP5" s="5" t="s">
        <v>7</v>
      </c>
      <c r="AQ5" s="5">
        <v>17</v>
      </c>
    </row>
    <row r="6" spans="1:43">
      <c r="A6" s="8" t="s">
        <v>67</v>
      </c>
      <c r="B6" s="52" t="s">
        <v>102</v>
      </c>
      <c r="C6" s="58"/>
      <c r="D6" s="42" t="s">
        <v>70</v>
      </c>
      <c r="E6" s="43"/>
      <c r="F6" s="57">
        <v>46045</v>
      </c>
      <c r="G6" s="50"/>
      <c r="H6" s="50"/>
      <c r="I6" s="50"/>
      <c r="AM6" s="25" t="s">
        <v>4</v>
      </c>
      <c r="AN6" s="25">
        <v>0</v>
      </c>
      <c r="AP6" s="5" t="s">
        <v>8</v>
      </c>
      <c r="AQ6" s="5">
        <v>26</v>
      </c>
    </row>
    <row r="7" spans="1:43">
      <c r="A7" s="8" t="s">
        <v>68</v>
      </c>
      <c r="B7" s="50" t="s">
        <v>103</v>
      </c>
      <c r="C7" s="50"/>
      <c r="D7" s="50"/>
      <c r="E7" s="50"/>
      <c r="F7" s="50"/>
      <c r="G7" s="50"/>
      <c r="H7" s="50"/>
      <c r="I7" s="50"/>
      <c r="AM7" s="25" t="s">
        <v>5</v>
      </c>
      <c r="AN7" s="25">
        <v>73</v>
      </c>
    </row>
    <row r="10" spans="1:43" ht="36.75" customHeight="1">
      <c r="A10" s="27" t="s">
        <v>33</v>
      </c>
      <c r="B10" s="27" t="s">
        <v>71</v>
      </c>
      <c r="C10" s="27" t="s">
        <v>46</v>
      </c>
      <c r="D10" s="27" t="s">
        <v>47</v>
      </c>
      <c r="E10" s="27" t="s">
        <v>48</v>
      </c>
      <c r="F10" s="27" t="s">
        <v>6</v>
      </c>
      <c r="G10" s="27" t="s">
        <v>7</v>
      </c>
      <c r="H10" s="27" t="s">
        <v>8</v>
      </c>
      <c r="I10" s="27" t="s">
        <v>49</v>
      </c>
    </row>
    <row r="11" spans="1:43">
      <c r="A11" s="32">
        <v>1</v>
      </c>
      <c r="B11" s="28" t="s">
        <v>104</v>
      </c>
      <c r="C11" s="32">
        <v>6</v>
      </c>
      <c r="D11" s="32">
        <v>2</v>
      </c>
      <c r="E11" s="32">
        <v>0</v>
      </c>
      <c r="F11" s="32">
        <v>2</v>
      </c>
      <c r="G11" s="32">
        <v>1</v>
      </c>
      <c r="H11" s="32">
        <v>5</v>
      </c>
      <c r="I11" s="32">
        <v>8</v>
      </c>
      <c r="L11" s="12"/>
    </row>
    <row r="12" spans="1:43" ht="16.8" customHeight="1">
      <c r="A12" s="32">
        <v>2</v>
      </c>
      <c r="B12" s="28" t="s">
        <v>105</v>
      </c>
      <c r="C12" s="32">
        <v>7</v>
      </c>
      <c r="D12" s="32">
        <v>2</v>
      </c>
      <c r="E12" s="32">
        <v>0</v>
      </c>
      <c r="F12" s="32">
        <v>4</v>
      </c>
      <c r="G12" s="32">
        <v>2</v>
      </c>
      <c r="H12" s="32">
        <v>3</v>
      </c>
      <c r="I12" s="32">
        <v>9</v>
      </c>
    </row>
    <row r="13" spans="1:43">
      <c r="C13" s="9"/>
      <c r="D13" s="9"/>
      <c r="E13" s="9"/>
      <c r="F13" s="9"/>
      <c r="G13" s="9"/>
      <c r="H13" s="9"/>
      <c r="I13" s="9"/>
    </row>
    <row r="14" spans="1:43">
      <c r="A14" s="10"/>
      <c r="B14" s="10" t="s">
        <v>9</v>
      </c>
      <c r="C14" s="4">
        <f t="shared" ref="C14:I14" si="0">SUM(C11:C12)</f>
        <v>13</v>
      </c>
      <c r="D14" s="4">
        <f t="shared" si="0"/>
        <v>4</v>
      </c>
      <c r="E14" s="4">
        <f t="shared" si="0"/>
        <v>0</v>
      </c>
      <c r="F14" s="4">
        <f t="shared" si="0"/>
        <v>6</v>
      </c>
      <c r="G14" s="4">
        <f t="shared" si="0"/>
        <v>3</v>
      </c>
      <c r="H14" s="4">
        <f t="shared" si="0"/>
        <v>8</v>
      </c>
      <c r="I14" s="4">
        <f t="shared" si="0"/>
        <v>17</v>
      </c>
    </row>
    <row r="16" spans="1:43">
      <c r="B16" s="11" t="s">
        <v>72</v>
      </c>
      <c r="C16" s="11"/>
      <c r="D16" s="33">
        <f>(C14 + D14)/I14</f>
        <v>1</v>
      </c>
    </row>
    <row r="17" spans="2:4">
      <c r="B17" s="11" t="s">
        <v>73</v>
      </c>
      <c r="C17" s="11"/>
      <c r="D17" s="33">
        <f xml:space="preserve"> C14 / (C14 + D14)</f>
        <v>0.76470588235294112</v>
      </c>
    </row>
    <row r="18" spans="2:4">
      <c r="B18" s="11" t="s">
        <v>74</v>
      </c>
      <c r="C18" s="11"/>
      <c r="D18" s="33">
        <f>F14 / SUM(F14:H14)</f>
        <v>0.35294117647058826</v>
      </c>
    </row>
    <row r="19" spans="2:4">
      <c r="B19" s="11" t="s">
        <v>75</v>
      </c>
      <c r="C19" s="11"/>
      <c r="D19" s="33">
        <f>G14 / (F14 + G14 + H14)</f>
        <v>0.17647058823529413</v>
      </c>
    </row>
    <row r="20" spans="2:4">
      <c r="B20" s="11" t="s">
        <v>76</v>
      </c>
      <c r="C20" s="11"/>
      <c r="D20" s="33">
        <f xml:space="preserve"> H14 / (F14 + G14 + H14)</f>
        <v>0.47058823529411764</v>
      </c>
    </row>
  </sheetData>
  <mergeCells count="11">
    <mergeCell ref="B7:I7"/>
    <mergeCell ref="A1:H3"/>
    <mergeCell ref="B4:C4"/>
    <mergeCell ref="D4:E4"/>
    <mergeCell ref="F4:I4"/>
    <mergeCell ref="B5:C5"/>
    <mergeCell ref="D5:E5"/>
    <mergeCell ref="F5:I5"/>
    <mergeCell ref="D6:E6"/>
    <mergeCell ref="F6:I6"/>
    <mergeCell ref="B6:C6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05EC-A664-43E4-9FF8-F5486EF9FAC7}">
  <dimension ref="A2:AD34"/>
  <sheetViews>
    <sheetView zoomScaleNormal="100" workbookViewId="0">
      <selection activeCell="S23" sqref="S23"/>
    </sheetView>
  </sheetViews>
  <sheetFormatPr defaultColWidth="3.6640625" defaultRowHeight="14.4"/>
  <cols>
    <col min="1" max="1" width="9.33203125" customWidth="1"/>
    <col min="2" max="2" width="9.21875" customWidth="1"/>
    <col min="3" max="3" width="8.77734375" customWidth="1"/>
    <col min="4" max="4" width="15.6640625" customWidth="1"/>
    <col min="5" max="5" width="11.5546875" customWidth="1"/>
    <col min="6" max="6" width="12.109375" customWidth="1"/>
    <col min="7" max="7" width="11.21875" customWidth="1"/>
    <col min="8" max="8" width="10.6640625" customWidth="1"/>
    <col min="9" max="9" width="10.88671875" customWidth="1"/>
    <col min="10" max="10" width="10.6640625" customWidth="1"/>
    <col min="11" max="11" width="10.77734375" customWidth="1"/>
    <col min="12" max="12" width="10.6640625" customWidth="1"/>
    <col min="14" max="24" width="3.6640625" customWidth="1"/>
    <col min="25" max="25" width="11.33203125" customWidth="1"/>
    <col min="26" max="26" width="18.44140625" customWidth="1"/>
    <col min="27" max="27" width="30" customWidth="1"/>
    <col min="28" max="28" width="26.44140625" customWidth="1"/>
    <col min="29" max="29" width="33.21875" customWidth="1"/>
    <col min="30" max="30" width="42.109375" customWidth="1"/>
    <col min="31" max="31" width="34.77734375" customWidth="1"/>
  </cols>
  <sheetData>
    <row r="2" spans="1:29">
      <c r="A2" s="60" t="s">
        <v>37</v>
      </c>
      <c r="B2" s="60"/>
      <c r="C2" s="62" t="s">
        <v>39</v>
      </c>
      <c r="D2" s="62"/>
      <c r="E2" s="60" t="s">
        <v>36</v>
      </c>
      <c r="F2" s="60"/>
      <c r="G2" s="60"/>
      <c r="H2" s="60"/>
      <c r="I2" s="60"/>
      <c r="J2" s="60"/>
      <c r="K2" s="60"/>
      <c r="L2" s="61" t="s">
        <v>80</v>
      </c>
      <c r="M2" s="61"/>
      <c r="N2" s="61"/>
      <c r="O2" s="61"/>
      <c r="P2" s="61"/>
      <c r="Q2" s="61"/>
      <c r="R2" s="61"/>
      <c r="S2" s="61"/>
      <c r="T2" s="61"/>
    </row>
    <row r="3" spans="1:29">
      <c r="A3" s="60" t="s">
        <v>41</v>
      </c>
      <c r="B3" s="60"/>
      <c r="C3" s="61" t="s">
        <v>27</v>
      </c>
      <c r="D3" s="61"/>
      <c r="E3" s="60" t="s">
        <v>42</v>
      </c>
      <c r="F3" s="60"/>
      <c r="G3" s="60"/>
      <c r="H3" s="60"/>
      <c r="I3" s="60"/>
      <c r="J3" s="60"/>
      <c r="K3" s="60"/>
      <c r="L3" s="61" t="s">
        <v>27</v>
      </c>
      <c r="M3" s="61"/>
      <c r="N3" s="61"/>
      <c r="O3" s="61"/>
      <c r="P3" s="61"/>
      <c r="Q3" s="61"/>
      <c r="R3" s="61"/>
      <c r="S3" s="61"/>
      <c r="T3" s="61"/>
    </row>
    <row r="4" spans="1:29">
      <c r="A4" s="60" t="s">
        <v>44</v>
      </c>
      <c r="B4" s="60"/>
      <c r="C4" s="61">
        <v>45</v>
      </c>
      <c r="D4" s="61"/>
      <c r="E4" s="60" t="s">
        <v>43</v>
      </c>
      <c r="F4" s="60"/>
      <c r="G4" s="60"/>
      <c r="H4" s="60"/>
      <c r="I4" s="60"/>
      <c r="J4" s="60"/>
      <c r="K4" s="60"/>
      <c r="L4" s="61">
        <v>0</v>
      </c>
      <c r="M4" s="61"/>
      <c r="N4" s="61"/>
      <c r="O4" s="61"/>
      <c r="P4" s="61"/>
      <c r="Q4" s="61"/>
      <c r="R4" s="61"/>
      <c r="S4" s="61"/>
      <c r="T4" s="61"/>
    </row>
    <row r="5" spans="1:29">
      <c r="A5" s="60" t="s">
        <v>45</v>
      </c>
      <c r="B5" s="60"/>
      <c r="C5" s="62" t="s">
        <v>85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</row>
    <row r="6" spans="1:29">
      <c r="A6" s="60" t="s">
        <v>46</v>
      </c>
      <c r="B6" s="60"/>
      <c r="C6" s="60" t="s">
        <v>47</v>
      </c>
      <c r="D6" s="60"/>
      <c r="E6" s="60" t="s">
        <v>48</v>
      </c>
      <c r="F6" s="60"/>
      <c r="G6" s="60"/>
      <c r="H6" s="60"/>
      <c r="I6" s="60"/>
      <c r="J6" s="60"/>
      <c r="K6" s="60"/>
      <c r="L6" s="60" t="s">
        <v>12</v>
      </c>
      <c r="M6" s="60"/>
      <c r="N6" s="60"/>
      <c r="O6" s="60" t="s">
        <v>49</v>
      </c>
      <c r="P6" s="60"/>
      <c r="Q6" s="60"/>
      <c r="R6" s="60"/>
      <c r="S6" s="60"/>
      <c r="T6" s="60"/>
    </row>
    <row r="7" spans="1:29">
      <c r="A7" s="59">
        <v>6</v>
      </c>
      <c r="B7" s="59"/>
      <c r="C7" s="59">
        <v>2</v>
      </c>
      <c r="D7" s="59"/>
      <c r="E7" s="59">
        <v>0</v>
      </c>
      <c r="F7" s="59"/>
      <c r="G7" s="59"/>
      <c r="H7" s="59"/>
      <c r="I7" s="59"/>
      <c r="J7" s="59"/>
      <c r="K7" s="59"/>
      <c r="L7" s="1">
        <v>2</v>
      </c>
      <c r="M7" s="1">
        <v>1</v>
      </c>
      <c r="N7" s="1">
        <v>5</v>
      </c>
      <c r="O7" s="59">
        <v>8</v>
      </c>
      <c r="P7" s="59"/>
      <c r="Q7" s="59"/>
      <c r="R7" s="59"/>
      <c r="S7" s="59"/>
      <c r="T7" s="59"/>
    </row>
    <row r="9" spans="1:29" ht="56.25" customHeight="1" thickBot="1">
      <c r="A9" s="19"/>
      <c r="B9" s="66"/>
      <c r="C9" s="66"/>
      <c r="D9" s="66"/>
      <c r="E9" s="22" t="s">
        <v>13</v>
      </c>
      <c r="F9" s="22" t="s">
        <v>14</v>
      </c>
      <c r="G9" s="22" t="s">
        <v>15</v>
      </c>
      <c r="H9" s="22" t="s">
        <v>16</v>
      </c>
      <c r="I9" s="22" t="s">
        <v>17</v>
      </c>
      <c r="J9" s="22" t="s">
        <v>18</v>
      </c>
      <c r="K9" s="22" t="s">
        <v>19</v>
      </c>
      <c r="L9" s="22" t="s">
        <v>95</v>
      </c>
    </row>
    <row r="10" spans="1:29" ht="15" thickTop="1">
      <c r="A10" s="20" t="s">
        <v>50</v>
      </c>
      <c r="B10" s="67" t="s">
        <v>86</v>
      </c>
      <c r="C10" s="67"/>
      <c r="D10" s="67"/>
      <c r="E10" s="17"/>
      <c r="F10" s="17"/>
      <c r="G10" s="17"/>
      <c r="H10" s="17"/>
      <c r="I10" s="17"/>
      <c r="J10" s="17"/>
      <c r="K10" s="17"/>
      <c r="L10" s="17"/>
    </row>
    <row r="11" spans="1:29">
      <c r="A11" s="13"/>
      <c r="B11" s="68">
        <v>-50</v>
      </c>
      <c r="C11" s="68"/>
      <c r="D11" s="68"/>
      <c r="E11" s="14" t="s">
        <v>20</v>
      </c>
      <c r="F11" s="14"/>
      <c r="G11" s="14"/>
      <c r="H11" s="14"/>
      <c r="I11" s="14"/>
      <c r="J11" s="14"/>
      <c r="K11" s="14"/>
      <c r="L11" s="14"/>
    </row>
    <row r="12" spans="1:29">
      <c r="A12" s="13"/>
      <c r="B12" s="68">
        <v>300</v>
      </c>
      <c r="C12" s="68"/>
      <c r="D12" s="68"/>
      <c r="E12" s="14"/>
      <c r="F12" s="14"/>
      <c r="G12" s="14"/>
      <c r="H12" s="14"/>
      <c r="I12" s="14"/>
      <c r="J12" s="14"/>
      <c r="K12" s="14" t="s">
        <v>20</v>
      </c>
      <c r="L12" s="14"/>
      <c r="Y12" s="29" t="s">
        <v>50</v>
      </c>
      <c r="Z12" s="29" t="s">
        <v>62</v>
      </c>
      <c r="AA12" s="29" t="s">
        <v>63</v>
      </c>
      <c r="AB12" s="29" t="s">
        <v>64</v>
      </c>
      <c r="AC12" s="29" t="s">
        <v>65</v>
      </c>
    </row>
    <row r="13" spans="1:29">
      <c r="A13" s="13"/>
      <c r="B13" s="68">
        <v>500</v>
      </c>
      <c r="C13" s="68"/>
      <c r="D13" s="68"/>
      <c r="E13" s="14"/>
      <c r="F13" s="14" t="s">
        <v>20</v>
      </c>
      <c r="G13" s="14" t="s">
        <v>20</v>
      </c>
      <c r="H13" s="14"/>
      <c r="I13" s="14"/>
      <c r="J13" s="14"/>
      <c r="K13" s="14"/>
      <c r="L13" s="14"/>
      <c r="Y13" s="36" t="s">
        <v>90</v>
      </c>
      <c r="Z13" s="36" t="s">
        <v>91</v>
      </c>
      <c r="AA13" s="36" t="s">
        <v>113</v>
      </c>
      <c r="AB13" s="36" t="s">
        <v>114</v>
      </c>
      <c r="AC13" s="36">
        <v>0</v>
      </c>
    </row>
    <row r="14" spans="1:29">
      <c r="A14" s="13"/>
      <c r="B14" s="69">
        <v>1000</v>
      </c>
      <c r="C14" s="70"/>
      <c r="D14" s="71"/>
      <c r="E14" s="14"/>
      <c r="F14" s="14"/>
      <c r="G14" s="14"/>
      <c r="H14" s="14" t="s">
        <v>20</v>
      </c>
      <c r="I14" s="14"/>
      <c r="J14" s="14"/>
      <c r="K14" s="14"/>
      <c r="L14" s="14"/>
      <c r="Y14" s="36" t="s">
        <v>92</v>
      </c>
      <c r="Z14" s="36" t="s">
        <v>93</v>
      </c>
      <c r="AA14" s="36" t="s">
        <v>115</v>
      </c>
      <c r="AB14" s="36" t="s">
        <v>115</v>
      </c>
      <c r="AC14" s="36" t="s">
        <v>115</v>
      </c>
    </row>
    <row r="15" spans="1:29">
      <c r="A15" s="13"/>
      <c r="B15" s="69">
        <v>2000</v>
      </c>
      <c r="C15" s="70"/>
      <c r="D15" s="71"/>
      <c r="E15" s="14"/>
      <c r="F15" s="14"/>
      <c r="G15" s="14"/>
      <c r="H15" s="14"/>
      <c r="I15" s="14" t="s">
        <v>20</v>
      </c>
      <c r="J15" s="14"/>
      <c r="K15" s="14"/>
      <c r="L15" s="14"/>
    </row>
    <row r="16" spans="1:29">
      <c r="A16" s="13"/>
      <c r="B16" s="69">
        <v>5000</v>
      </c>
      <c r="C16" s="70"/>
      <c r="D16" s="71"/>
      <c r="E16" s="14"/>
      <c r="F16" s="14"/>
      <c r="G16" s="14"/>
      <c r="H16" s="14"/>
      <c r="I16" s="14"/>
      <c r="J16" s="14" t="s">
        <v>20</v>
      </c>
      <c r="K16" s="14"/>
      <c r="L16" s="14"/>
    </row>
    <row r="17" spans="1:30">
      <c r="A17" s="13"/>
      <c r="B17" s="69">
        <v>6000</v>
      </c>
      <c r="C17" s="70"/>
      <c r="D17" s="71"/>
      <c r="E17" s="14"/>
      <c r="F17" s="14"/>
      <c r="G17" s="14"/>
      <c r="H17" s="14"/>
      <c r="I17" s="14"/>
      <c r="J17" s="14"/>
      <c r="K17" s="14"/>
      <c r="L17" s="14" t="s">
        <v>20</v>
      </c>
    </row>
    <row r="18" spans="1:30">
      <c r="A18" s="13"/>
      <c r="B18" s="63" t="s">
        <v>87</v>
      </c>
      <c r="C18" s="64"/>
      <c r="D18" s="65"/>
      <c r="E18" s="14"/>
      <c r="F18" s="14"/>
      <c r="G18" s="14"/>
      <c r="H18" s="14"/>
      <c r="I18" s="14"/>
      <c r="J18" s="14"/>
      <c r="K18" s="14"/>
      <c r="L18" s="14"/>
      <c r="Y18" s="37" t="s">
        <v>25</v>
      </c>
      <c r="Z18" s="37" t="s">
        <v>59</v>
      </c>
      <c r="AA18" s="37" t="s">
        <v>60</v>
      </c>
      <c r="AB18" s="37" t="s">
        <v>61</v>
      </c>
      <c r="AC18" s="37" t="s">
        <v>26</v>
      </c>
      <c r="AD18" s="2"/>
    </row>
    <row r="19" spans="1:30">
      <c r="A19" s="13"/>
      <c r="B19" s="72" t="b">
        <v>0</v>
      </c>
      <c r="C19" s="72"/>
      <c r="D19" s="72"/>
      <c r="E19" s="14" t="s">
        <v>20</v>
      </c>
      <c r="F19" s="14" t="s">
        <v>20</v>
      </c>
      <c r="G19" s="14"/>
      <c r="H19" s="14" t="s">
        <v>20</v>
      </c>
      <c r="I19" s="14"/>
      <c r="J19" s="14" t="s">
        <v>20</v>
      </c>
      <c r="K19" s="14" t="s">
        <v>20</v>
      </c>
      <c r="L19" s="14" t="s">
        <v>20</v>
      </c>
      <c r="Y19" s="36">
        <v>1</v>
      </c>
      <c r="Z19" s="36" t="s">
        <v>24</v>
      </c>
      <c r="AA19" s="36">
        <v>-50</v>
      </c>
      <c r="AB19" s="36" t="b">
        <v>0</v>
      </c>
      <c r="AC19" s="36" t="s">
        <v>116</v>
      </c>
      <c r="AD19" s="30"/>
    </row>
    <row r="20" spans="1:30">
      <c r="A20" s="13"/>
      <c r="B20" s="72" t="b">
        <v>1</v>
      </c>
      <c r="C20" s="72"/>
      <c r="D20" s="72"/>
      <c r="E20" s="14"/>
      <c r="F20" s="14"/>
      <c r="G20" s="14" t="s">
        <v>20</v>
      </c>
      <c r="H20" s="14"/>
      <c r="I20" s="14" t="s">
        <v>20</v>
      </c>
      <c r="J20" s="14"/>
      <c r="K20" s="14"/>
      <c r="L20" s="14"/>
      <c r="Y20" s="36">
        <v>2</v>
      </c>
      <c r="Z20" s="36" t="s">
        <v>23</v>
      </c>
      <c r="AA20" s="36">
        <v>500</v>
      </c>
      <c r="AB20" s="36" t="b">
        <v>0</v>
      </c>
      <c r="AC20" s="36" t="s">
        <v>94</v>
      </c>
      <c r="AD20" s="30"/>
    </row>
    <row r="21" spans="1:30">
      <c r="A21" s="23" t="s">
        <v>51</v>
      </c>
      <c r="B21" s="67" t="s">
        <v>52</v>
      </c>
      <c r="C21" s="77"/>
      <c r="D21" s="77"/>
      <c r="E21" s="16"/>
      <c r="F21" s="16"/>
      <c r="G21" s="16"/>
      <c r="H21" s="16"/>
      <c r="I21" s="16"/>
      <c r="J21" s="16"/>
      <c r="K21" s="16"/>
      <c r="L21" s="16"/>
      <c r="Y21" s="36">
        <v>3</v>
      </c>
      <c r="Z21" s="36" t="s">
        <v>23</v>
      </c>
      <c r="AA21" s="36">
        <v>500</v>
      </c>
      <c r="AB21" s="36" t="b">
        <v>1</v>
      </c>
      <c r="AC21" s="36" t="s">
        <v>117</v>
      </c>
      <c r="AD21" s="30"/>
    </row>
    <row r="22" spans="1:30">
      <c r="A22" s="34"/>
      <c r="B22" s="69" t="s">
        <v>108</v>
      </c>
      <c r="C22" s="70"/>
      <c r="D22" s="71"/>
      <c r="E22" s="16" t="s">
        <v>20</v>
      </c>
      <c r="F22" s="16"/>
      <c r="G22" s="16"/>
      <c r="H22" s="16"/>
      <c r="I22" s="16"/>
      <c r="J22" s="16"/>
      <c r="K22" s="16"/>
      <c r="L22" s="16"/>
      <c r="Y22" s="36">
        <v>4</v>
      </c>
      <c r="Z22" s="36" t="s">
        <v>23</v>
      </c>
      <c r="AA22" s="36">
        <v>1000</v>
      </c>
      <c r="AB22" s="36" t="b">
        <v>0</v>
      </c>
      <c r="AC22" s="36" t="s">
        <v>118</v>
      </c>
      <c r="AD22" s="30"/>
    </row>
    <row r="23" spans="1:30">
      <c r="A23" s="34"/>
      <c r="B23" s="69" t="s">
        <v>88</v>
      </c>
      <c r="C23" s="70"/>
      <c r="D23" s="71"/>
      <c r="E23" s="16"/>
      <c r="F23" s="16" t="s">
        <v>20</v>
      </c>
      <c r="G23" s="16"/>
      <c r="H23" s="16"/>
      <c r="I23" s="16"/>
      <c r="J23" s="16"/>
      <c r="K23" s="16"/>
      <c r="L23" s="16"/>
      <c r="Y23" s="36">
        <v>5</v>
      </c>
      <c r="Z23" s="36" t="s">
        <v>22</v>
      </c>
      <c r="AA23" s="36">
        <v>2000</v>
      </c>
      <c r="AB23" s="36" t="b">
        <v>1</v>
      </c>
      <c r="AC23" s="36" t="s">
        <v>119</v>
      </c>
      <c r="AD23" s="30"/>
    </row>
    <row r="24" spans="1:30">
      <c r="A24" s="34"/>
      <c r="B24" s="69" t="s">
        <v>106</v>
      </c>
      <c r="C24" s="70"/>
      <c r="D24" s="71"/>
      <c r="E24" s="16"/>
      <c r="F24" s="16"/>
      <c r="G24" s="16" t="s">
        <v>20</v>
      </c>
      <c r="H24" s="16"/>
      <c r="I24" s="16"/>
      <c r="J24" s="16"/>
      <c r="K24" s="16"/>
      <c r="L24" s="16"/>
      <c r="Y24" s="36">
        <v>6</v>
      </c>
      <c r="Z24" s="36" t="s">
        <v>23</v>
      </c>
      <c r="AA24" s="36">
        <v>5000</v>
      </c>
      <c r="AB24" s="36" t="b">
        <v>0</v>
      </c>
      <c r="AC24" s="36" t="s">
        <v>120</v>
      </c>
    </row>
    <row r="25" spans="1:30">
      <c r="A25" s="34"/>
      <c r="B25" s="69" t="s">
        <v>107</v>
      </c>
      <c r="C25" s="70"/>
      <c r="D25" s="71"/>
      <c r="E25" s="16"/>
      <c r="F25" s="16"/>
      <c r="G25" s="16"/>
      <c r="H25" s="16" t="s">
        <v>20</v>
      </c>
      <c r="I25" s="16"/>
      <c r="J25" s="16"/>
      <c r="K25" s="16"/>
      <c r="L25" s="16"/>
      <c r="Y25" s="36">
        <v>7</v>
      </c>
      <c r="Z25" s="36" t="s">
        <v>22</v>
      </c>
      <c r="AA25" s="36">
        <v>300</v>
      </c>
      <c r="AB25" s="36" t="b">
        <v>0</v>
      </c>
      <c r="AC25" s="36" t="s">
        <v>121</v>
      </c>
    </row>
    <row r="26" spans="1:30">
      <c r="A26" s="13"/>
      <c r="B26" s="69" t="s">
        <v>89</v>
      </c>
      <c r="C26" s="70"/>
      <c r="D26" s="71"/>
      <c r="E26" s="14"/>
      <c r="F26" s="14"/>
      <c r="G26" s="14"/>
      <c r="H26" s="14"/>
      <c r="I26" s="14" t="s">
        <v>20</v>
      </c>
      <c r="J26" s="14"/>
      <c r="K26" s="14"/>
      <c r="L26" s="14"/>
      <c r="Y26" s="36">
        <v>8</v>
      </c>
      <c r="Z26" s="36" t="s">
        <v>23</v>
      </c>
      <c r="AA26" s="36">
        <v>6000</v>
      </c>
      <c r="AB26" s="36" t="b">
        <v>0</v>
      </c>
      <c r="AC26" s="36" t="s">
        <v>122</v>
      </c>
    </row>
    <row r="27" spans="1:30">
      <c r="A27" s="13"/>
      <c r="B27" s="69" t="s">
        <v>109</v>
      </c>
      <c r="C27" s="70"/>
      <c r="D27" s="71"/>
      <c r="E27" s="14"/>
      <c r="F27" s="14"/>
      <c r="G27" s="14"/>
      <c r="H27" s="14"/>
      <c r="I27" s="14"/>
      <c r="J27" s="14"/>
      <c r="K27" s="14" t="s">
        <v>20</v>
      </c>
      <c r="L27" s="14"/>
    </row>
    <row r="28" spans="1:30">
      <c r="A28" s="13"/>
      <c r="B28" s="69" t="s">
        <v>110</v>
      </c>
      <c r="C28" s="70"/>
      <c r="D28" s="71"/>
      <c r="E28" s="14"/>
      <c r="F28" s="14"/>
      <c r="G28" s="14"/>
      <c r="H28" s="14"/>
      <c r="I28" s="14"/>
      <c r="J28" s="14" t="s">
        <v>20</v>
      </c>
      <c r="K28" s="14"/>
      <c r="L28" s="14" t="s">
        <v>20</v>
      </c>
    </row>
    <row r="29" spans="1:30">
      <c r="A29" s="18" t="s">
        <v>53</v>
      </c>
      <c r="B29" s="74" t="s">
        <v>54</v>
      </c>
      <c r="C29" s="75"/>
      <c r="D29" s="76"/>
      <c r="E29" s="21" t="s">
        <v>7</v>
      </c>
      <c r="F29" s="21" t="s">
        <v>8</v>
      </c>
      <c r="G29" s="21" t="s">
        <v>8</v>
      </c>
      <c r="H29" s="21" t="s">
        <v>8</v>
      </c>
      <c r="I29" s="21" t="s">
        <v>6</v>
      </c>
      <c r="J29" s="21" t="s">
        <v>8</v>
      </c>
      <c r="K29" s="21" t="s">
        <v>6</v>
      </c>
      <c r="L29" s="21" t="s">
        <v>6</v>
      </c>
    </row>
    <row r="30" spans="1:30">
      <c r="A30" s="15"/>
      <c r="B30" s="73" t="s">
        <v>21</v>
      </c>
      <c r="C30" s="64"/>
      <c r="D30" s="65"/>
      <c r="E30" s="14" t="s">
        <v>57</v>
      </c>
      <c r="F30" s="14" t="s">
        <v>57</v>
      </c>
      <c r="G30" s="14" t="s">
        <v>57</v>
      </c>
      <c r="H30" s="14" t="s">
        <v>57</v>
      </c>
      <c r="I30" s="14" t="s">
        <v>57</v>
      </c>
      <c r="J30" s="14" t="s">
        <v>57</v>
      </c>
      <c r="K30" s="14" t="s">
        <v>58</v>
      </c>
      <c r="L30" s="14" t="s">
        <v>58</v>
      </c>
    </row>
    <row r="31" spans="1:30">
      <c r="A31" s="13"/>
      <c r="B31" s="73" t="s">
        <v>55</v>
      </c>
      <c r="C31" s="64"/>
      <c r="D31" s="65"/>
      <c r="E31" s="35">
        <v>46045</v>
      </c>
      <c r="F31" s="35">
        <v>46045</v>
      </c>
      <c r="G31" s="35">
        <v>46045</v>
      </c>
      <c r="H31" s="35">
        <v>46045</v>
      </c>
      <c r="I31" s="35">
        <v>46045</v>
      </c>
      <c r="J31" s="35">
        <v>46045</v>
      </c>
      <c r="K31" s="35">
        <v>46045</v>
      </c>
      <c r="L31" s="35">
        <v>46045</v>
      </c>
    </row>
    <row r="32" spans="1:30">
      <c r="A32" s="13"/>
      <c r="B32" s="73" t="s">
        <v>56</v>
      </c>
      <c r="C32" s="64"/>
      <c r="D32" s="65"/>
      <c r="E32" s="14"/>
      <c r="F32" s="14"/>
      <c r="G32" s="14"/>
      <c r="H32" s="31"/>
      <c r="I32" s="14"/>
      <c r="J32" s="14"/>
      <c r="K32" s="14" t="s">
        <v>111</v>
      </c>
      <c r="L32" s="14" t="s">
        <v>112</v>
      </c>
      <c r="Y32" s="2"/>
    </row>
    <row r="34" ht="14.4" customHeight="1"/>
  </sheetData>
  <mergeCells count="47">
    <mergeCell ref="B19:D19"/>
    <mergeCell ref="B20:D20"/>
    <mergeCell ref="B31:D31"/>
    <mergeCell ref="B32:D32"/>
    <mergeCell ref="B27:D27"/>
    <mergeCell ref="B28:D28"/>
    <mergeCell ref="B29:D29"/>
    <mergeCell ref="B30:D30"/>
    <mergeCell ref="B21:D21"/>
    <mergeCell ref="B26:D26"/>
    <mergeCell ref="B22:D22"/>
    <mergeCell ref="B23:D23"/>
    <mergeCell ref="B24:D24"/>
    <mergeCell ref="B25:D25"/>
    <mergeCell ref="B18:D18"/>
    <mergeCell ref="B9:D9"/>
    <mergeCell ref="B10:D10"/>
    <mergeCell ref="B11:D11"/>
    <mergeCell ref="B12:D12"/>
    <mergeCell ref="B13:D13"/>
    <mergeCell ref="B17:D17"/>
    <mergeCell ref="B14:D14"/>
    <mergeCell ref="B15:D15"/>
    <mergeCell ref="B16:D16"/>
    <mergeCell ref="A2:B2"/>
    <mergeCell ref="C2:D2"/>
    <mergeCell ref="E2:K2"/>
    <mergeCell ref="L2:T2"/>
    <mergeCell ref="A3:B3"/>
    <mergeCell ref="C3:D3"/>
    <mergeCell ref="E3:K3"/>
    <mergeCell ref="L3:T3"/>
    <mergeCell ref="A7:B7"/>
    <mergeCell ref="C7:D7"/>
    <mergeCell ref="E7:K7"/>
    <mergeCell ref="O7:T7"/>
    <mergeCell ref="A4:B4"/>
    <mergeCell ref="C4:D4"/>
    <mergeCell ref="E4:K4"/>
    <mergeCell ref="L4:T4"/>
    <mergeCell ref="A5:B5"/>
    <mergeCell ref="C5:T5"/>
    <mergeCell ref="A6:B6"/>
    <mergeCell ref="C6:D6"/>
    <mergeCell ref="E6:K6"/>
    <mergeCell ref="L6:N6"/>
    <mergeCell ref="O6:T6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635F-55D8-4020-A4A9-457917DEFD9D}">
  <dimension ref="A2:AE38"/>
  <sheetViews>
    <sheetView workbookViewId="0">
      <selection activeCell="Z30" sqref="Z30"/>
    </sheetView>
  </sheetViews>
  <sheetFormatPr defaultColWidth="3.6640625" defaultRowHeight="14.4"/>
  <cols>
    <col min="1" max="1" width="9.33203125" customWidth="1"/>
    <col min="2" max="2" width="9.21875" customWidth="1"/>
    <col min="3" max="3" width="8.77734375" customWidth="1"/>
    <col min="4" max="4" width="15.6640625" customWidth="1"/>
    <col min="5" max="5" width="15.109375" customWidth="1"/>
    <col min="6" max="6" width="15.5546875" customWidth="1"/>
    <col min="7" max="7" width="11" customWidth="1"/>
    <col min="8" max="8" width="10.6640625" customWidth="1"/>
    <col min="9" max="9" width="10.88671875" customWidth="1"/>
    <col min="10" max="10" width="10.6640625" customWidth="1"/>
    <col min="11" max="11" width="10.77734375" customWidth="1"/>
    <col min="12" max="12" width="10.44140625" customWidth="1"/>
    <col min="13" max="13" width="10.5546875" customWidth="1"/>
    <col min="25" max="25" width="11.33203125" customWidth="1"/>
    <col min="26" max="26" width="26.33203125" customWidth="1"/>
    <col min="27" max="27" width="30" customWidth="1"/>
    <col min="28" max="28" width="26.44140625" customWidth="1"/>
    <col min="29" max="29" width="30.109375" customWidth="1"/>
    <col min="30" max="30" width="42.109375" customWidth="1"/>
    <col min="31" max="31" width="34.77734375" customWidth="1"/>
  </cols>
  <sheetData>
    <row r="2" spans="1:29">
      <c r="A2" s="60" t="s">
        <v>37</v>
      </c>
      <c r="B2" s="60"/>
      <c r="C2" s="62" t="s">
        <v>40</v>
      </c>
      <c r="D2" s="62"/>
      <c r="E2" s="60" t="s">
        <v>36</v>
      </c>
      <c r="F2" s="60"/>
      <c r="G2" s="60"/>
      <c r="H2" s="60"/>
      <c r="I2" s="60"/>
      <c r="J2" s="60"/>
      <c r="K2" s="60"/>
      <c r="L2" s="61" t="s">
        <v>81</v>
      </c>
      <c r="M2" s="61"/>
      <c r="N2" s="61"/>
      <c r="O2" s="61"/>
      <c r="P2" s="61"/>
      <c r="Q2" s="61"/>
      <c r="R2" s="61"/>
      <c r="S2" s="61"/>
      <c r="T2" s="61"/>
    </row>
    <row r="3" spans="1:29">
      <c r="A3" s="60" t="s">
        <v>41</v>
      </c>
      <c r="B3" s="60"/>
      <c r="C3" s="61" t="s">
        <v>27</v>
      </c>
      <c r="D3" s="61"/>
      <c r="E3" s="60" t="s">
        <v>42</v>
      </c>
      <c r="F3" s="60"/>
      <c r="G3" s="60"/>
      <c r="H3" s="60"/>
      <c r="I3" s="60"/>
      <c r="J3" s="60"/>
      <c r="K3" s="60"/>
      <c r="L3" s="61" t="s">
        <v>27</v>
      </c>
      <c r="M3" s="61"/>
      <c r="N3" s="61"/>
      <c r="O3" s="61"/>
      <c r="P3" s="61"/>
      <c r="Q3" s="61"/>
      <c r="R3" s="61"/>
      <c r="S3" s="61"/>
      <c r="T3" s="61"/>
    </row>
    <row r="4" spans="1:29">
      <c r="A4" s="60" t="s">
        <v>44</v>
      </c>
      <c r="B4" s="60"/>
      <c r="C4" s="61">
        <v>40</v>
      </c>
      <c r="D4" s="61"/>
      <c r="E4" s="60" t="s">
        <v>43</v>
      </c>
      <c r="F4" s="60"/>
      <c r="G4" s="60"/>
      <c r="H4" s="60"/>
      <c r="I4" s="60"/>
      <c r="J4" s="60"/>
      <c r="K4" s="60"/>
      <c r="L4" s="61">
        <v>0</v>
      </c>
      <c r="M4" s="61"/>
      <c r="N4" s="61"/>
      <c r="O4" s="61"/>
      <c r="P4" s="61"/>
      <c r="Q4" s="61"/>
      <c r="R4" s="61"/>
      <c r="S4" s="61"/>
      <c r="T4" s="61"/>
    </row>
    <row r="5" spans="1:29">
      <c r="A5" s="60" t="s">
        <v>45</v>
      </c>
      <c r="B5" s="60"/>
      <c r="C5" s="61" t="s">
        <v>123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9">
      <c r="A6" s="60" t="s">
        <v>46</v>
      </c>
      <c r="B6" s="60"/>
      <c r="C6" s="60" t="s">
        <v>47</v>
      </c>
      <c r="D6" s="60"/>
      <c r="E6" s="60" t="s">
        <v>48</v>
      </c>
      <c r="F6" s="60"/>
      <c r="G6" s="60"/>
      <c r="H6" s="60"/>
      <c r="I6" s="60"/>
      <c r="J6" s="60"/>
      <c r="K6" s="60"/>
      <c r="L6" s="60" t="s">
        <v>12</v>
      </c>
      <c r="M6" s="60"/>
      <c r="N6" s="60"/>
      <c r="O6" s="60" t="s">
        <v>49</v>
      </c>
      <c r="P6" s="60"/>
      <c r="Q6" s="60"/>
      <c r="R6" s="60"/>
      <c r="S6" s="60"/>
      <c r="T6" s="60"/>
    </row>
    <row r="7" spans="1:29">
      <c r="A7" s="59">
        <v>7</v>
      </c>
      <c r="B7" s="59"/>
      <c r="C7" s="59">
        <v>2</v>
      </c>
      <c r="D7" s="59"/>
      <c r="E7" s="59">
        <v>0</v>
      </c>
      <c r="F7" s="59"/>
      <c r="G7" s="59"/>
      <c r="H7" s="59"/>
      <c r="I7" s="59"/>
      <c r="J7" s="59"/>
      <c r="K7" s="59"/>
      <c r="L7" s="26">
        <v>4</v>
      </c>
      <c r="M7" s="26">
        <v>2</v>
      </c>
      <c r="N7" s="26">
        <v>3</v>
      </c>
      <c r="O7" s="59">
        <v>9</v>
      </c>
      <c r="P7" s="59"/>
      <c r="Q7" s="59"/>
      <c r="R7" s="59"/>
      <c r="S7" s="59"/>
      <c r="T7" s="59"/>
    </row>
    <row r="9" spans="1:29" ht="56.25" customHeight="1" thickBot="1">
      <c r="A9" s="19"/>
      <c r="B9" s="66"/>
      <c r="C9" s="66"/>
      <c r="D9" s="66"/>
      <c r="E9" s="22" t="s">
        <v>13</v>
      </c>
      <c r="F9" s="22" t="s">
        <v>14</v>
      </c>
      <c r="G9" s="22" t="s">
        <v>15</v>
      </c>
      <c r="H9" s="22" t="s">
        <v>16</v>
      </c>
      <c r="I9" s="22" t="s">
        <v>17</v>
      </c>
      <c r="J9" s="22" t="s">
        <v>18</v>
      </c>
      <c r="K9" s="22" t="s">
        <v>19</v>
      </c>
      <c r="L9" s="22" t="s">
        <v>95</v>
      </c>
      <c r="M9" s="22" t="s">
        <v>129</v>
      </c>
    </row>
    <row r="10" spans="1:29" ht="15" thickTop="1">
      <c r="A10" s="20" t="s">
        <v>50</v>
      </c>
      <c r="B10" s="67" t="s">
        <v>96</v>
      </c>
      <c r="C10" s="67"/>
      <c r="D10" s="67"/>
      <c r="E10" s="17"/>
      <c r="F10" s="17"/>
      <c r="G10" s="17"/>
      <c r="H10" s="17"/>
      <c r="I10" s="17"/>
      <c r="J10" s="17"/>
      <c r="K10" s="17"/>
      <c r="L10" s="17"/>
      <c r="M10" s="17"/>
    </row>
    <row r="11" spans="1:29">
      <c r="A11" s="13"/>
      <c r="B11" s="68">
        <v>-5</v>
      </c>
      <c r="C11" s="68"/>
      <c r="D11" s="68"/>
      <c r="E11" s="14" t="s">
        <v>20</v>
      </c>
      <c r="F11" s="14"/>
      <c r="G11" s="14"/>
      <c r="H11" s="14"/>
      <c r="I11" s="14"/>
      <c r="J11" s="14"/>
      <c r="K11" s="14"/>
      <c r="L11" s="14"/>
      <c r="M11" s="14"/>
    </row>
    <row r="12" spans="1:29">
      <c r="A12" s="13"/>
      <c r="B12" s="68">
        <v>5</v>
      </c>
      <c r="C12" s="68"/>
      <c r="D12" s="68"/>
      <c r="E12" s="14"/>
      <c r="F12" s="14"/>
      <c r="G12" s="14"/>
      <c r="H12" s="14"/>
      <c r="I12" s="14"/>
      <c r="J12" s="14" t="s">
        <v>20</v>
      </c>
      <c r="K12" s="14"/>
      <c r="L12" s="14" t="s">
        <v>20</v>
      </c>
      <c r="M12" s="14"/>
      <c r="Y12" s="29" t="s">
        <v>50</v>
      </c>
      <c r="Z12" s="29" t="s">
        <v>62</v>
      </c>
      <c r="AA12" s="29" t="s">
        <v>63</v>
      </c>
      <c r="AB12" s="29" t="s">
        <v>64</v>
      </c>
      <c r="AC12" s="29" t="s">
        <v>65</v>
      </c>
    </row>
    <row r="13" spans="1:29" ht="28.8">
      <c r="A13" s="13"/>
      <c r="B13" s="69">
        <v>10</v>
      </c>
      <c r="C13" s="70"/>
      <c r="D13" s="71"/>
      <c r="E13" s="14"/>
      <c r="F13" s="14" t="s">
        <v>20</v>
      </c>
      <c r="G13" s="14" t="s">
        <v>20</v>
      </c>
      <c r="H13" s="14"/>
      <c r="I13" s="14"/>
      <c r="J13" s="14"/>
      <c r="K13" s="14"/>
      <c r="L13" s="14"/>
      <c r="M13" s="14"/>
      <c r="Y13" s="36" t="s">
        <v>132</v>
      </c>
      <c r="Z13" s="36" t="s">
        <v>91</v>
      </c>
      <c r="AA13" s="36" t="s">
        <v>101</v>
      </c>
      <c r="AB13" s="36" t="s">
        <v>133</v>
      </c>
      <c r="AC13" s="36">
        <v>0</v>
      </c>
    </row>
    <row r="14" spans="1:29" ht="28.8">
      <c r="A14" s="13"/>
      <c r="B14" s="69">
        <v>15</v>
      </c>
      <c r="C14" s="70"/>
      <c r="D14" s="71"/>
      <c r="E14" s="14"/>
      <c r="F14" s="14"/>
      <c r="G14" s="14"/>
      <c r="H14" s="14" t="s">
        <v>20</v>
      </c>
      <c r="I14" s="14"/>
      <c r="J14" s="14"/>
      <c r="K14" s="14" t="s">
        <v>20</v>
      </c>
      <c r="L14" s="14"/>
      <c r="M14" s="14"/>
      <c r="Y14" s="36" t="s">
        <v>134</v>
      </c>
      <c r="Z14" s="36" t="s">
        <v>91</v>
      </c>
      <c r="AA14" s="36" t="s">
        <v>101</v>
      </c>
      <c r="AB14" s="36" t="s">
        <v>135</v>
      </c>
      <c r="AC14" s="36">
        <v>0</v>
      </c>
    </row>
    <row r="15" spans="1:29" ht="28.8">
      <c r="A15" s="13"/>
      <c r="B15" s="69">
        <v>60</v>
      </c>
      <c r="C15" s="70"/>
      <c r="D15" s="71"/>
      <c r="E15" s="14"/>
      <c r="F15" s="14"/>
      <c r="G15" s="14"/>
      <c r="H15" s="14"/>
      <c r="I15" s="14" t="s">
        <v>20</v>
      </c>
      <c r="J15" s="14"/>
      <c r="K15" s="14"/>
      <c r="L15" s="14"/>
      <c r="M15" s="14"/>
      <c r="Y15" s="36" t="s">
        <v>136</v>
      </c>
      <c r="Z15" s="36" t="s">
        <v>93</v>
      </c>
      <c r="AA15" s="36" t="s">
        <v>115</v>
      </c>
      <c r="AB15" s="36" t="s">
        <v>115</v>
      </c>
      <c r="AC15" s="36" t="s">
        <v>115</v>
      </c>
    </row>
    <row r="16" spans="1:29">
      <c r="A16" s="13"/>
      <c r="B16" s="69">
        <v>100</v>
      </c>
      <c r="C16" s="70"/>
      <c r="D16" s="71"/>
      <c r="E16" s="14"/>
      <c r="F16" s="14"/>
      <c r="G16" s="14"/>
      <c r="H16" s="14"/>
      <c r="I16" s="14"/>
      <c r="J16" s="14"/>
      <c r="K16" s="14"/>
      <c r="L16" s="14"/>
      <c r="M16" s="14" t="s">
        <v>20</v>
      </c>
    </row>
    <row r="17" spans="1:31">
      <c r="A17" s="13"/>
      <c r="B17" s="63" t="s">
        <v>97</v>
      </c>
      <c r="C17" s="64"/>
      <c r="D17" s="65"/>
      <c r="E17" s="14"/>
      <c r="F17" s="14"/>
      <c r="G17" s="14"/>
      <c r="H17" s="14"/>
      <c r="I17" s="14"/>
      <c r="J17" s="14"/>
      <c r="K17" s="14"/>
      <c r="L17" s="14"/>
      <c r="M17" s="14"/>
      <c r="Y17" s="29" t="s">
        <v>25</v>
      </c>
      <c r="Z17" s="29" t="s">
        <v>59</v>
      </c>
      <c r="AA17" s="29" t="s">
        <v>60</v>
      </c>
      <c r="AB17" s="29" t="s">
        <v>61</v>
      </c>
      <c r="AC17" s="29" t="s">
        <v>26</v>
      </c>
    </row>
    <row r="18" spans="1:31">
      <c r="A18" s="13"/>
      <c r="B18" s="72">
        <v>-2</v>
      </c>
      <c r="C18" s="72"/>
      <c r="D18" s="72"/>
      <c r="E18" s="14"/>
      <c r="F18" s="14" t="s">
        <v>20</v>
      </c>
      <c r="G18" s="14"/>
      <c r="H18" s="14"/>
      <c r="I18" s="14"/>
      <c r="J18" s="14"/>
      <c r="K18" s="14"/>
      <c r="L18" s="14"/>
      <c r="M18" s="14"/>
      <c r="Y18" s="36">
        <v>1</v>
      </c>
      <c r="Z18" s="36" t="s">
        <v>24</v>
      </c>
      <c r="AA18" s="36">
        <v>-5</v>
      </c>
      <c r="AB18" s="36">
        <v>2</v>
      </c>
      <c r="AC18" s="36" t="b">
        <v>0</v>
      </c>
      <c r="AD18" s="2"/>
    </row>
    <row r="19" spans="1:31">
      <c r="A19" s="13"/>
      <c r="B19" s="72">
        <v>2</v>
      </c>
      <c r="C19" s="72"/>
      <c r="D19" s="72"/>
      <c r="E19" s="14" t="s">
        <v>20</v>
      </c>
      <c r="F19" s="14"/>
      <c r="G19" s="14"/>
      <c r="H19" s="14" t="s">
        <v>20</v>
      </c>
      <c r="I19" s="14" t="s">
        <v>20</v>
      </c>
      <c r="J19" s="14"/>
      <c r="K19" s="14"/>
      <c r="L19" s="14"/>
      <c r="M19" s="14" t="s">
        <v>20</v>
      </c>
      <c r="Y19" s="36">
        <v>2</v>
      </c>
      <c r="Z19" s="36" t="s">
        <v>24</v>
      </c>
      <c r="AA19" s="36">
        <v>10</v>
      </c>
      <c r="AB19" s="36">
        <v>-2</v>
      </c>
      <c r="AC19" s="36" t="b">
        <v>0</v>
      </c>
      <c r="AD19" s="30"/>
    </row>
    <row r="20" spans="1:31">
      <c r="A20" s="13"/>
      <c r="B20" s="83">
        <v>5</v>
      </c>
      <c r="C20" s="84"/>
      <c r="D20" s="85"/>
      <c r="E20" s="14"/>
      <c r="F20" s="14"/>
      <c r="G20" s="14" t="s">
        <v>20</v>
      </c>
      <c r="H20" s="14"/>
      <c r="I20" s="14"/>
      <c r="J20" s="14"/>
      <c r="K20" s="14"/>
      <c r="L20" s="14"/>
      <c r="M20" s="14"/>
      <c r="Y20" s="36">
        <v>3</v>
      </c>
      <c r="Z20" s="36" t="s">
        <v>23</v>
      </c>
      <c r="AA20" s="36">
        <v>10</v>
      </c>
      <c r="AB20" s="36">
        <v>5</v>
      </c>
      <c r="AC20" s="36" t="b">
        <v>0</v>
      </c>
      <c r="AD20" s="30"/>
    </row>
    <row r="21" spans="1:31">
      <c r="A21" s="13"/>
      <c r="B21" s="83">
        <v>8</v>
      </c>
      <c r="C21" s="84"/>
      <c r="D21" s="85"/>
      <c r="E21" s="14"/>
      <c r="F21" s="14"/>
      <c r="G21" s="14"/>
      <c r="H21" s="14"/>
      <c r="I21" s="14"/>
      <c r="J21" s="14"/>
      <c r="K21" s="14"/>
      <c r="L21" s="14" t="s">
        <v>20</v>
      </c>
      <c r="M21" s="14"/>
      <c r="Y21" s="36">
        <v>4</v>
      </c>
      <c r="Z21" s="36" t="s">
        <v>22</v>
      </c>
      <c r="AA21" s="36">
        <v>15</v>
      </c>
      <c r="AB21" s="36">
        <v>2</v>
      </c>
      <c r="AC21" s="36" t="b">
        <v>0</v>
      </c>
      <c r="AD21" s="30"/>
    </row>
    <row r="22" spans="1:31">
      <c r="A22" s="13"/>
      <c r="B22" s="72">
        <v>12</v>
      </c>
      <c r="C22" s="72"/>
      <c r="D22" s="72"/>
      <c r="E22" s="14"/>
      <c r="F22" s="14"/>
      <c r="G22" s="14"/>
      <c r="H22" s="14"/>
      <c r="I22" s="14"/>
      <c r="J22" s="14" t="s">
        <v>20</v>
      </c>
      <c r="K22" s="14" t="s">
        <v>20</v>
      </c>
      <c r="L22" s="14"/>
      <c r="M22" s="14"/>
      <c r="Y22" s="36">
        <v>5</v>
      </c>
      <c r="Z22" s="36" t="s">
        <v>22</v>
      </c>
      <c r="AA22" s="36">
        <v>60</v>
      </c>
      <c r="AB22" s="36">
        <v>2</v>
      </c>
      <c r="AC22" s="36" t="b">
        <v>0</v>
      </c>
      <c r="AE22" s="30"/>
    </row>
    <row r="23" spans="1:31">
      <c r="A23" s="13"/>
      <c r="B23" s="63" t="s">
        <v>98</v>
      </c>
      <c r="C23" s="78"/>
      <c r="D23" s="79"/>
      <c r="E23" s="14"/>
      <c r="F23" s="14"/>
      <c r="G23" s="14"/>
      <c r="H23" s="14"/>
      <c r="I23" s="14"/>
      <c r="J23" s="14"/>
      <c r="K23" s="14"/>
      <c r="L23" s="14"/>
      <c r="M23" s="14"/>
      <c r="Y23" s="36">
        <v>6</v>
      </c>
      <c r="Z23" s="36" t="s">
        <v>22</v>
      </c>
      <c r="AA23" s="36">
        <v>5</v>
      </c>
      <c r="AB23" s="36">
        <v>12</v>
      </c>
      <c r="AC23" s="36" t="b">
        <v>0</v>
      </c>
      <c r="AE23" s="30"/>
    </row>
    <row r="24" spans="1:31">
      <c r="A24" s="13"/>
      <c r="B24" s="69" t="b">
        <v>0</v>
      </c>
      <c r="C24" s="70"/>
      <c r="D24" s="71"/>
      <c r="E24" s="14" t="s">
        <v>20</v>
      </c>
      <c r="F24" s="14" t="s">
        <v>20</v>
      </c>
      <c r="G24" s="14" t="s">
        <v>20</v>
      </c>
      <c r="H24" s="14" t="s">
        <v>20</v>
      </c>
      <c r="I24" s="14" t="s">
        <v>20</v>
      </c>
      <c r="J24" s="14" t="s">
        <v>20</v>
      </c>
      <c r="K24" s="14"/>
      <c r="L24" s="14" t="s">
        <v>20</v>
      </c>
      <c r="M24" s="14" t="s">
        <v>20</v>
      </c>
      <c r="Y24" s="36">
        <v>7</v>
      </c>
      <c r="Z24" s="36" t="s">
        <v>22</v>
      </c>
      <c r="AA24" s="36">
        <v>15</v>
      </c>
      <c r="AB24" s="36">
        <v>12</v>
      </c>
      <c r="AC24" s="36" t="b">
        <v>1</v>
      </c>
    </row>
    <row r="25" spans="1:31">
      <c r="A25" s="13"/>
      <c r="B25" s="69" t="b">
        <v>1</v>
      </c>
      <c r="C25" s="70"/>
      <c r="D25" s="71"/>
      <c r="E25" s="14"/>
      <c r="F25" s="14"/>
      <c r="G25" s="14"/>
      <c r="H25" s="14"/>
      <c r="I25" s="14"/>
      <c r="J25" s="14"/>
      <c r="K25" s="14" t="s">
        <v>20</v>
      </c>
      <c r="L25" s="14"/>
      <c r="M25" s="14"/>
      <c r="Y25" s="36">
        <v>8</v>
      </c>
      <c r="Z25" s="36" t="s">
        <v>23</v>
      </c>
      <c r="AA25" s="36">
        <v>5</v>
      </c>
      <c r="AB25" s="36">
        <v>8</v>
      </c>
      <c r="AC25" s="36" t="b">
        <v>0</v>
      </c>
    </row>
    <row r="26" spans="1:31">
      <c r="A26" s="23" t="s">
        <v>51</v>
      </c>
      <c r="B26" s="67" t="s">
        <v>52</v>
      </c>
      <c r="C26" s="77"/>
      <c r="D26" s="77"/>
      <c r="E26" s="16"/>
      <c r="F26" s="16"/>
      <c r="G26" s="16"/>
      <c r="H26" s="16"/>
      <c r="I26" s="16"/>
      <c r="J26" s="16"/>
      <c r="K26" s="16"/>
      <c r="L26" s="16"/>
      <c r="M26" s="16"/>
      <c r="Y26" s="36">
        <v>9</v>
      </c>
      <c r="Z26" s="36" t="s">
        <v>22</v>
      </c>
      <c r="AA26" s="36">
        <v>100</v>
      </c>
      <c r="AB26" s="36">
        <v>2</v>
      </c>
      <c r="AC26" s="36" t="b">
        <v>0</v>
      </c>
    </row>
    <row r="27" spans="1:31">
      <c r="A27" s="13"/>
      <c r="B27" s="80" t="s">
        <v>108</v>
      </c>
      <c r="C27" s="81"/>
      <c r="D27" s="82"/>
      <c r="E27" s="16" t="s">
        <v>20</v>
      </c>
      <c r="F27" s="16" t="s">
        <v>20</v>
      </c>
      <c r="G27" s="16"/>
      <c r="H27" s="16"/>
      <c r="I27" s="16"/>
      <c r="J27" s="16"/>
      <c r="K27" s="16"/>
      <c r="L27" s="16"/>
      <c r="M27" s="16"/>
    </row>
    <row r="28" spans="1:31">
      <c r="A28" s="13"/>
      <c r="B28" s="69" t="s">
        <v>99</v>
      </c>
      <c r="C28" s="70"/>
      <c r="D28" s="71"/>
      <c r="E28" s="16"/>
      <c r="F28" s="16"/>
      <c r="G28" s="16" t="s">
        <v>20</v>
      </c>
      <c r="H28" s="16"/>
      <c r="I28" s="16"/>
      <c r="J28" s="16"/>
      <c r="K28" s="16"/>
      <c r="L28" s="16"/>
      <c r="M28" s="16"/>
    </row>
    <row r="29" spans="1:31">
      <c r="A29" s="13"/>
      <c r="B29" s="69" t="s">
        <v>124</v>
      </c>
      <c r="C29" s="70"/>
      <c r="D29" s="71"/>
      <c r="E29" s="16"/>
      <c r="F29" s="16"/>
      <c r="G29" s="16"/>
      <c r="H29" s="16" t="s">
        <v>20</v>
      </c>
      <c r="I29" s="16"/>
      <c r="J29" s="16"/>
      <c r="K29" s="16"/>
      <c r="L29" s="16"/>
      <c r="M29" s="16"/>
    </row>
    <row r="30" spans="1:31">
      <c r="A30" s="13"/>
      <c r="B30" s="69" t="s">
        <v>125</v>
      </c>
      <c r="C30" s="70"/>
      <c r="D30" s="71"/>
      <c r="E30" s="16"/>
      <c r="F30" s="16"/>
      <c r="G30" s="16"/>
      <c r="H30" s="16"/>
      <c r="I30" s="16" t="s">
        <v>20</v>
      </c>
      <c r="J30" s="16"/>
      <c r="K30" s="16"/>
      <c r="L30" s="16"/>
      <c r="M30" s="16"/>
      <c r="Y30" s="2"/>
    </row>
    <row r="31" spans="1:31">
      <c r="A31" s="13"/>
      <c r="B31" s="69" t="s">
        <v>126</v>
      </c>
      <c r="C31" s="70"/>
      <c r="D31" s="71"/>
      <c r="E31" s="16"/>
      <c r="F31" s="16"/>
      <c r="G31" s="16"/>
      <c r="H31" s="16"/>
      <c r="I31" s="16"/>
      <c r="J31" s="16" t="s">
        <v>20</v>
      </c>
      <c r="K31" s="16"/>
      <c r="L31" s="16"/>
      <c r="M31" s="16"/>
    </row>
    <row r="32" spans="1:31">
      <c r="A32" s="13"/>
      <c r="B32" s="69" t="s">
        <v>127</v>
      </c>
      <c r="C32" s="70"/>
      <c r="D32" s="71"/>
      <c r="E32" s="16"/>
      <c r="F32" s="16"/>
      <c r="G32" s="16"/>
      <c r="H32" s="16"/>
      <c r="I32" s="16"/>
      <c r="J32" s="16"/>
      <c r="K32" s="16" t="s">
        <v>20</v>
      </c>
      <c r="L32" s="16"/>
      <c r="M32" s="16"/>
    </row>
    <row r="33" spans="1:13">
      <c r="A33" s="13"/>
      <c r="B33" s="69" t="s">
        <v>100</v>
      </c>
      <c r="C33" s="70"/>
      <c r="D33" s="71"/>
      <c r="E33" s="16"/>
      <c r="F33" s="16"/>
      <c r="G33" s="16"/>
      <c r="H33" s="16"/>
      <c r="I33" s="16"/>
      <c r="J33" s="16"/>
      <c r="K33" s="16"/>
      <c r="L33" s="16" t="s">
        <v>20</v>
      </c>
      <c r="M33" s="16"/>
    </row>
    <row r="34" spans="1:13" ht="14.4" customHeight="1">
      <c r="A34" s="13"/>
      <c r="B34" s="69" t="s">
        <v>128</v>
      </c>
      <c r="C34" s="70"/>
      <c r="D34" s="71"/>
      <c r="E34" s="16"/>
      <c r="F34" s="16"/>
      <c r="G34" s="16"/>
      <c r="H34" s="16"/>
      <c r="I34" s="16"/>
      <c r="J34" s="16"/>
      <c r="K34" s="16"/>
      <c r="L34" s="16"/>
      <c r="M34" s="16" t="s">
        <v>20</v>
      </c>
    </row>
    <row r="35" spans="1:13">
      <c r="A35" s="18" t="s">
        <v>53</v>
      </c>
      <c r="B35" s="74" t="s">
        <v>54</v>
      </c>
      <c r="C35" s="75"/>
      <c r="D35" s="76"/>
      <c r="E35" s="21" t="s">
        <v>7</v>
      </c>
      <c r="F35" s="21" t="s">
        <v>7</v>
      </c>
      <c r="G35" s="21" t="s">
        <v>8</v>
      </c>
      <c r="H35" s="21" t="s">
        <v>6</v>
      </c>
      <c r="I35" s="21" t="s">
        <v>6</v>
      </c>
      <c r="J35" s="21" t="s">
        <v>6</v>
      </c>
      <c r="K35" s="21" t="s">
        <v>6</v>
      </c>
      <c r="L35" s="21" t="s">
        <v>8</v>
      </c>
      <c r="M35" s="21" t="s">
        <v>8</v>
      </c>
    </row>
    <row r="36" spans="1:13">
      <c r="A36" s="15"/>
      <c r="B36" s="73" t="s">
        <v>21</v>
      </c>
      <c r="C36" s="64"/>
      <c r="D36" s="65"/>
      <c r="E36" s="14" t="s">
        <v>57</v>
      </c>
      <c r="F36" s="14" t="s">
        <v>57</v>
      </c>
      <c r="G36" s="14" t="s">
        <v>57</v>
      </c>
      <c r="H36" s="14" t="s">
        <v>57</v>
      </c>
      <c r="I36" s="14" t="s">
        <v>57</v>
      </c>
      <c r="J36" s="14" t="s">
        <v>57</v>
      </c>
      <c r="K36" s="14" t="s">
        <v>57</v>
      </c>
      <c r="L36" s="14" t="s">
        <v>58</v>
      </c>
      <c r="M36" s="14" t="s">
        <v>58</v>
      </c>
    </row>
    <row r="37" spans="1:13">
      <c r="A37" s="13"/>
      <c r="B37" s="73" t="s">
        <v>55</v>
      </c>
      <c r="C37" s="64"/>
      <c r="D37" s="65"/>
      <c r="E37" s="35">
        <v>46045</v>
      </c>
      <c r="F37" s="35">
        <v>46045</v>
      </c>
      <c r="G37" s="35">
        <v>46045</v>
      </c>
      <c r="H37" s="35">
        <v>46045</v>
      </c>
      <c r="I37" s="35">
        <v>46045</v>
      </c>
      <c r="J37" s="35">
        <v>46045</v>
      </c>
      <c r="K37" s="35">
        <v>46045</v>
      </c>
      <c r="L37" s="35">
        <v>46045</v>
      </c>
      <c r="M37" s="35">
        <v>46045</v>
      </c>
    </row>
    <row r="38" spans="1:13">
      <c r="A38" s="13"/>
      <c r="B38" s="73" t="s">
        <v>56</v>
      </c>
      <c r="C38" s="64"/>
      <c r="D38" s="65"/>
      <c r="E38" s="14"/>
      <c r="F38" s="14"/>
      <c r="G38" s="14"/>
      <c r="H38" s="14"/>
      <c r="I38" s="14"/>
      <c r="J38" s="14"/>
      <c r="K38" s="14"/>
      <c r="L38" s="14" t="s">
        <v>130</v>
      </c>
      <c r="M38" s="14" t="s">
        <v>131</v>
      </c>
    </row>
  </sheetData>
  <mergeCells count="53">
    <mergeCell ref="B38:D38"/>
    <mergeCell ref="B35:D35"/>
    <mergeCell ref="B24:D24"/>
    <mergeCell ref="B36:D36"/>
    <mergeCell ref="B37:D37"/>
    <mergeCell ref="B25:D25"/>
    <mergeCell ref="B26:D26"/>
    <mergeCell ref="B27:D27"/>
    <mergeCell ref="B30:D30"/>
    <mergeCell ref="B31:D31"/>
    <mergeCell ref="B32:D32"/>
    <mergeCell ref="B33:D33"/>
    <mergeCell ref="B28:D28"/>
    <mergeCell ref="B34:D34"/>
    <mergeCell ref="B29:D29"/>
    <mergeCell ref="E7:K7"/>
    <mergeCell ref="O7:T7"/>
    <mergeCell ref="B9:D9"/>
    <mergeCell ref="B10:D10"/>
    <mergeCell ref="B11:D11"/>
    <mergeCell ref="A7:B7"/>
    <mergeCell ref="C7:D7"/>
    <mergeCell ref="E4:K4"/>
    <mergeCell ref="L4:T4"/>
    <mergeCell ref="A5:B5"/>
    <mergeCell ref="C5:T5"/>
    <mergeCell ref="E6:K6"/>
    <mergeCell ref="L6:N6"/>
    <mergeCell ref="O6:T6"/>
    <mergeCell ref="A6:B6"/>
    <mergeCell ref="C6:D6"/>
    <mergeCell ref="A4:B4"/>
    <mergeCell ref="C4:D4"/>
    <mergeCell ref="E2:K2"/>
    <mergeCell ref="L2:T2"/>
    <mergeCell ref="A3:B3"/>
    <mergeCell ref="C3:D3"/>
    <mergeCell ref="E3:K3"/>
    <mergeCell ref="L3:T3"/>
    <mergeCell ref="A2:B2"/>
    <mergeCell ref="C2:D2"/>
    <mergeCell ref="B12:D12"/>
    <mergeCell ref="B19:D19"/>
    <mergeCell ref="B22:D22"/>
    <mergeCell ref="B23:D23"/>
    <mergeCell ref="B17:D17"/>
    <mergeCell ref="B18:D18"/>
    <mergeCell ref="B13:D13"/>
    <mergeCell ref="B14:D14"/>
    <mergeCell ref="B15:D15"/>
    <mergeCell ref="B20:D20"/>
    <mergeCell ref="B21:D21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FunctionList</vt:lpstr>
      <vt:lpstr>Test Report</vt:lpstr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Nguyễn</dc:creator>
  <cp:lastModifiedBy>Kiet Võ</cp:lastModifiedBy>
  <dcterms:created xsi:type="dcterms:W3CDTF">2026-01-27T13:55:38Z</dcterms:created>
  <dcterms:modified xsi:type="dcterms:W3CDTF">2026-03-16T13:56:57Z</dcterms:modified>
</cp:coreProperties>
</file>